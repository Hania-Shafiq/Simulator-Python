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4E\EXCELCNV\21bf19b4-e081-46b7-a35b-05aef1cfa6b5\"/>
    </mc:Choice>
  </mc:AlternateContent>
  <xr:revisionPtr revIDLastSave="0" documentId="8_{F23E93F9-14D2-4845-9886-2694A030897E}" xr6:coauthVersionLast="47" xr6:coauthVersionMax="47" xr10:uidLastSave="{00000000-0000-0000-0000-000000000000}"/>
  <bookViews>
    <workbookView xWindow="-60" yWindow="-60" windowWidth="15480" windowHeight="11640" firstSheet="7" activeTab="7" xr2:uid="{DD21D48E-7402-4686-92C0-AF8813DDDBC2}"/>
  </bookViews>
  <sheets>
    <sheet name="PPLOT SERVICE S-1" sheetId="4" r:id="rId1"/>
    <sheet name="initial draft" sheetId="1" r:id="rId2"/>
    <sheet name="histograms" sheetId="6" r:id="rId3"/>
    <sheet name="PPlot-Service" sheetId="8" r:id="rId4"/>
    <sheet name="PPlot-Arrival (2)" sheetId="9" r:id="rId5"/>
    <sheet name="PPlot-Arrival" sheetId="3" r:id="rId6"/>
    <sheet name="pplot arrival  3" sheetId="10" r:id="rId7"/>
    <sheet name="ChiSquare" sheetId="7" r:id="rId8"/>
    <sheet name="Sheet1" sheetId="5" r:id="rId9"/>
    <sheet name="c1" sheetId="2" r:id="rId10"/>
  </sheets>
  <definedNames>
    <definedName name="_xlchart.v1.0" hidden="1">'PPlot-Service'!$F$3:$F$176</definedName>
    <definedName name="_xlchart.v1.1" hidden="1">'PPlot-Arrival (2)'!$D$3</definedName>
    <definedName name="_xlchart.v1.2" hidden="1">'PPlot-Arrival (2)'!$D$4:$D$176</definedName>
    <definedName name="_xlchart.v1.3" hidden="1">'PPlot-Arrival (2)'!J3:J176</definedName>
    <definedName name="_xlchart.v1.4" hidden="1">'PPlot-Arrival (2)'!$F$3:$F$176</definedName>
    <definedName name="_xlchart.v1.5" hidden="1">'PPlot-Arrival'!$F$3:$F$176</definedName>
    <definedName name="_xlchart.v1.6" hidden="1">Sheet1!$B$3:$B$12</definedName>
    <definedName name="_xlchart.v1.7" hidden="1">Sheet1!$C$3:$C$12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7" i="7" l="1" a="1"/>
  <c r="M97" i="7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4" i="8"/>
  <c r="D5" i="8"/>
  <c r="D6" i="8"/>
  <c r="D7" i="8"/>
  <c r="D8" i="8"/>
  <c r="D9" i="8"/>
  <c r="D3" i="8"/>
  <c r="E3" i="8"/>
  <c r="E7" i="8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2" i="10"/>
  <c r="E3" i="9"/>
  <c r="A178" i="10"/>
  <c r="A176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2" i="10"/>
  <c r="C3" i="3"/>
  <c r="E4" i="3"/>
  <c r="E10" i="9"/>
  <c r="E8" i="9"/>
  <c r="E6" i="8"/>
  <c r="E7" i="9"/>
  <c r="E6" i="3"/>
  <c r="E11" i="3"/>
  <c r="E9" i="3"/>
  <c r="H3" i="8"/>
  <c r="E4" i="9"/>
  <c r="E5" i="8"/>
  <c r="D5" i="9"/>
  <c r="D4" i="9"/>
  <c r="C7" i="9"/>
  <c r="C3" i="9"/>
  <c r="C4" i="9"/>
  <c r="C5" i="9"/>
  <c r="V5" i="7"/>
  <c r="S31" i="7"/>
  <c r="P33" i="7"/>
  <c r="P31" i="7"/>
  <c r="M31" i="7" a="1"/>
  <c r="M31" i="7"/>
  <c r="G2" i="7"/>
  <c r="J3" i="7"/>
  <c r="I2" i="7"/>
  <c r="F2" i="7"/>
  <c r="E3" i="3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6" i="9"/>
  <c r="C8" i="9"/>
  <c r="C9" i="9"/>
  <c r="C10" i="9"/>
  <c r="C11" i="9"/>
  <c r="C12" i="9"/>
  <c r="C13" i="9"/>
  <c r="C14" i="9"/>
  <c r="C15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H2" i="8"/>
  <c r="D4" i="3"/>
  <c r="D5" i="3"/>
  <c r="M75" i="7" a="1"/>
  <c r="M75" i="7"/>
  <c r="M87" i="7"/>
  <c r="M52" i="7" a="1"/>
  <c r="M52" i="7"/>
  <c r="M5" i="7" a="1"/>
  <c r="M5" i="7"/>
  <c r="F11" i="7"/>
  <c r="G11" i="7"/>
  <c r="H11" i="7"/>
  <c r="I11" i="7"/>
  <c r="J11" i="7"/>
  <c r="F12" i="7"/>
  <c r="G12" i="7"/>
  <c r="H12" i="7"/>
  <c r="I12" i="7"/>
  <c r="J12" i="7"/>
  <c r="F13" i="7"/>
  <c r="G13" i="7"/>
  <c r="H13" i="7"/>
  <c r="I13" i="7"/>
  <c r="J13" i="7"/>
  <c r="F14" i="7"/>
  <c r="G14" i="7"/>
  <c r="H14" i="7"/>
  <c r="I14" i="7"/>
  <c r="J14" i="7"/>
  <c r="F15" i="7"/>
  <c r="G15" i="7"/>
  <c r="H15" i="7"/>
  <c r="I15" i="7"/>
  <c r="J15" i="7"/>
  <c r="F16" i="7"/>
  <c r="G16" i="7"/>
  <c r="H16" i="7"/>
  <c r="I16" i="7"/>
  <c r="J16" i="7"/>
  <c r="F17" i="7"/>
  <c r="G17" i="7"/>
  <c r="H17" i="7"/>
  <c r="I17" i="7"/>
  <c r="J17" i="7"/>
  <c r="F18" i="7"/>
  <c r="G18" i="7"/>
  <c r="H18" i="7"/>
  <c r="I18" i="7"/>
  <c r="J18" i="7"/>
  <c r="F19" i="7"/>
  <c r="G19" i="7"/>
  <c r="H19" i="7"/>
  <c r="I19" i="7"/>
  <c r="J19" i="7"/>
  <c r="F20" i="7"/>
  <c r="G20" i="7"/>
  <c r="H20" i="7"/>
  <c r="I20" i="7"/>
  <c r="J20" i="7"/>
  <c r="F21" i="7"/>
  <c r="G21" i="7"/>
  <c r="H21" i="7"/>
  <c r="I21" i="7"/>
  <c r="J21" i="7"/>
  <c r="F22" i="7"/>
  <c r="G22" i="7"/>
  <c r="H22" i="7"/>
  <c r="I22" i="7"/>
  <c r="J22" i="7"/>
  <c r="F23" i="7"/>
  <c r="G23" i="7"/>
  <c r="H23" i="7"/>
  <c r="I23" i="7"/>
  <c r="J23" i="7"/>
  <c r="F24" i="7"/>
  <c r="G24" i="7"/>
  <c r="H24" i="7"/>
  <c r="I24" i="7"/>
  <c r="J24" i="7"/>
  <c r="F25" i="7"/>
  <c r="G25" i="7"/>
  <c r="H25" i="7"/>
  <c r="I25" i="7"/>
  <c r="J25" i="7"/>
  <c r="F26" i="7"/>
  <c r="G26" i="7"/>
  <c r="H26" i="7"/>
  <c r="I26" i="7"/>
  <c r="J26" i="7"/>
  <c r="F27" i="7"/>
  <c r="G27" i="7"/>
  <c r="H27" i="7"/>
  <c r="I27" i="7"/>
  <c r="J27" i="7"/>
  <c r="F28" i="7"/>
  <c r="G28" i="7"/>
  <c r="H28" i="7"/>
  <c r="I28" i="7"/>
  <c r="J28" i="7"/>
  <c r="F29" i="7"/>
  <c r="G29" i="7"/>
  <c r="H29" i="7"/>
  <c r="I29" i="7"/>
  <c r="J29" i="7"/>
  <c r="F30" i="7"/>
  <c r="G30" i="7"/>
  <c r="H30" i="7"/>
  <c r="I30" i="7"/>
  <c r="J30" i="7"/>
  <c r="F31" i="7"/>
  <c r="G31" i="7"/>
  <c r="H31" i="7"/>
  <c r="I31" i="7"/>
  <c r="J31" i="7"/>
  <c r="F32" i="7"/>
  <c r="G32" i="7"/>
  <c r="H32" i="7"/>
  <c r="I32" i="7"/>
  <c r="J32" i="7"/>
  <c r="F33" i="7"/>
  <c r="G33" i="7"/>
  <c r="H33" i="7"/>
  <c r="I33" i="7"/>
  <c r="J33" i="7"/>
  <c r="F34" i="7"/>
  <c r="G34" i="7"/>
  <c r="H34" i="7"/>
  <c r="I34" i="7"/>
  <c r="J34" i="7"/>
  <c r="F35" i="7"/>
  <c r="G35" i="7"/>
  <c r="H35" i="7"/>
  <c r="I35" i="7"/>
  <c r="J35" i="7"/>
  <c r="F36" i="7"/>
  <c r="G36" i="7"/>
  <c r="H36" i="7"/>
  <c r="I36" i="7"/>
  <c r="J36" i="7"/>
  <c r="F37" i="7"/>
  <c r="G37" i="7"/>
  <c r="H37" i="7"/>
  <c r="I37" i="7"/>
  <c r="J37" i="7"/>
  <c r="F38" i="7"/>
  <c r="G38" i="7"/>
  <c r="H38" i="7"/>
  <c r="I38" i="7"/>
  <c r="J38" i="7"/>
  <c r="F39" i="7"/>
  <c r="G39" i="7"/>
  <c r="H39" i="7"/>
  <c r="I39" i="7"/>
  <c r="J39" i="7"/>
  <c r="F40" i="7"/>
  <c r="G40" i="7"/>
  <c r="H40" i="7"/>
  <c r="I40" i="7"/>
  <c r="J40" i="7"/>
  <c r="F41" i="7"/>
  <c r="G41" i="7"/>
  <c r="H41" i="7"/>
  <c r="I41" i="7"/>
  <c r="J41" i="7"/>
  <c r="F42" i="7"/>
  <c r="G42" i="7"/>
  <c r="H42" i="7"/>
  <c r="I42" i="7"/>
  <c r="J42" i="7"/>
  <c r="F43" i="7"/>
  <c r="G43" i="7"/>
  <c r="H43" i="7"/>
  <c r="I43" i="7"/>
  <c r="J43" i="7"/>
  <c r="F44" i="7"/>
  <c r="G44" i="7"/>
  <c r="H44" i="7"/>
  <c r="I44" i="7"/>
  <c r="J44" i="7"/>
  <c r="F45" i="7"/>
  <c r="G45" i="7"/>
  <c r="H45" i="7"/>
  <c r="I45" i="7"/>
  <c r="J45" i="7"/>
  <c r="F46" i="7"/>
  <c r="G46" i="7"/>
  <c r="H46" i="7"/>
  <c r="I46" i="7"/>
  <c r="J46" i="7"/>
  <c r="F47" i="7"/>
  <c r="G47" i="7"/>
  <c r="H47" i="7"/>
  <c r="I47" i="7"/>
  <c r="J47" i="7"/>
  <c r="F48" i="7"/>
  <c r="G48" i="7"/>
  <c r="H48" i="7"/>
  <c r="I48" i="7"/>
  <c r="J48" i="7"/>
  <c r="F49" i="7"/>
  <c r="G49" i="7"/>
  <c r="H49" i="7"/>
  <c r="I49" i="7"/>
  <c r="J49" i="7"/>
  <c r="F50" i="7"/>
  <c r="G50" i="7"/>
  <c r="H50" i="7"/>
  <c r="I50" i="7"/>
  <c r="J50" i="7"/>
  <c r="F51" i="7"/>
  <c r="G51" i="7"/>
  <c r="H51" i="7"/>
  <c r="I51" i="7"/>
  <c r="J51" i="7"/>
  <c r="F52" i="7"/>
  <c r="G52" i="7"/>
  <c r="H52" i="7"/>
  <c r="I52" i="7"/>
  <c r="J52" i="7"/>
  <c r="F53" i="7"/>
  <c r="G53" i="7"/>
  <c r="H53" i="7"/>
  <c r="I53" i="7"/>
  <c r="J53" i="7"/>
  <c r="F54" i="7"/>
  <c r="G54" i="7"/>
  <c r="H54" i="7"/>
  <c r="I54" i="7"/>
  <c r="J54" i="7"/>
  <c r="F55" i="7"/>
  <c r="G55" i="7"/>
  <c r="H55" i="7"/>
  <c r="I55" i="7"/>
  <c r="J55" i="7"/>
  <c r="F56" i="7"/>
  <c r="G56" i="7"/>
  <c r="H56" i="7"/>
  <c r="I56" i="7"/>
  <c r="J56" i="7"/>
  <c r="F57" i="7"/>
  <c r="G57" i="7"/>
  <c r="H57" i="7"/>
  <c r="I57" i="7"/>
  <c r="J57" i="7"/>
  <c r="F58" i="7"/>
  <c r="G58" i="7"/>
  <c r="H58" i="7"/>
  <c r="I58" i="7"/>
  <c r="J58" i="7"/>
  <c r="F59" i="7"/>
  <c r="G59" i="7"/>
  <c r="H59" i="7"/>
  <c r="I59" i="7"/>
  <c r="J59" i="7"/>
  <c r="F60" i="7"/>
  <c r="G60" i="7"/>
  <c r="H60" i="7"/>
  <c r="I60" i="7"/>
  <c r="J60" i="7"/>
  <c r="F61" i="7"/>
  <c r="G61" i="7"/>
  <c r="H61" i="7"/>
  <c r="I61" i="7"/>
  <c r="J61" i="7"/>
  <c r="F62" i="7"/>
  <c r="G62" i="7"/>
  <c r="H62" i="7"/>
  <c r="I62" i="7"/>
  <c r="J62" i="7"/>
  <c r="F63" i="7"/>
  <c r="G63" i="7"/>
  <c r="H63" i="7"/>
  <c r="I63" i="7"/>
  <c r="J63" i="7"/>
  <c r="F64" i="7"/>
  <c r="G64" i="7"/>
  <c r="H64" i="7"/>
  <c r="I64" i="7"/>
  <c r="J64" i="7"/>
  <c r="F65" i="7"/>
  <c r="G65" i="7"/>
  <c r="H65" i="7"/>
  <c r="I65" i="7"/>
  <c r="J65" i="7"/>
  <c r="F66" i="7"/>
  <c r="G66" i="7"/>
  <c r="H66" i="7"/>
  <c r="I66" i="7"/>
  <c r="J66" i="7"/>
  <c r="F67" i="7"/>
  <c r="G67" i="7"/>
  <c r="H67" i="7"/>
  <c r="I67" i="7"/>
  <c r="J67" i="7"/>
  <c r="F68" i="7"/>
  <c r="G68" i="7"/>
  <c r="H68" i="7"/>
  <c r="I68" i="7"/>
  <c r="J68" i="7"/>
  <c r="F69" i="7"/>
  <c r="G69" i="7"/>
  <c r="H69" i="7"/>
  <c r="I69" i="7"/>
  <c r="J69" i="7"/>
  <c r="F70" i="7"/>
  <c r="G70" i="7"/>
  <c r="H70" i="7"/>
  <c r="I70" i="7"/>
  <c r="J70" i="7"/>
  <c r="F71" i="7"/>
  <c r="G71" i="7"/>
  <c r="H71" i="7"/>
  <c r="I71" i="7"/>
  <c r="J71" i="7"/>
  <c r="F72" i="7"/>
  <c r="G72" i="7"/>
  <c r="H72" i="7"/>
  <c r="I72" i="7"/>
  <c r="J72" i="7"/>
  <c r="F73" i="7"/>
  <c r="G73" i="7"/>
  <c r="H73" i="7"/>
  <c r="I73" i="7"/>
  <c r="J73" i="7"/>
  <c r="F74" i="7"/>
  <c r="G74" i="7"/>
  <c r="H74" i="7"/>
  <c r="I74" i="7"/>
  <c r="J74" i="7"/>
  <c r="F75" i="7"/>
  <c r="G75" i="7"/>
  <c r="H75" i="7"/>
  <c r="I75" i="7"/>
  <c r="J75" i="7"/>
  <c r="F76" i="7"/>
  <c r="G76" i="7"/>
  <c r="H76" i="7"/>
  <c r="I76" i="7"/>
  <c r="J76" i="7"/>
  <c r="F77" i="7"/>
  <c r="G77" i="7"/>
  <c r="H77" i="7"/>
  <c r="I77" i="7"/>
  <c r="J77" i="7"/>
  <c r="F78" i="7"/>
  <c r="G78" i="7"/>
  <c r="H78" i="7"/>
  <c r="I78" i="7"/>
  <c r="J78" i="7"/>
  <c r="F79" i="7"/>
  <c r="G79" i="7"/>
  <c r="H79" i="7"/>
  <c r="I79" i="7"/>
  <c r="J79" i="7"/>
  <c r="F80" i="7"/>
  <c r="G80" i="7"/>
  <c r="H80" i="7"/>
  <c r="I80" i="7"/>
  <c r="J80" i="7"/>
  <c r="F81" i="7"/>
  <c r="G81" i="7"/>
  <c r="H81" i="7"/>
  <c r="I81" i="7"/>
  <c r="J81" i="7"/>
  <c r="F82" i="7"/>
  <c r="G82" i="7"/>
  <c r="H82" i="7"/>
  <c r="I82" i="7"/>
  <c r="J82" i="7"/>
  <c r="F83" i="7"/>
  <c r="G83" i="7"/>
  <c r="H83" i="7"/>
  <c r="I83" i="7"/>
  <c r="J83" i="7"/>
  <c r="F84" i="7"/>
  <c r="G84" i="7"/>
  <c r="H84" i="7"/>
  <c r="I84" i="7"/>
  <c r="J84" i="7"/>
  <c r="F85" i="7"/>
  <c r="G85" i="7"/>
  <c r="H85" i="7"/>
  <c r="I85" i="7"/>
  <c r="J85" i="7"/>
  <c r="F86" i="7"/>
  <c r="G86" i="7"/>
  <c r="H86" i="7"/>
  <c r="I86" i="7"/>
  <c r="J86" i="7"/>
  <c r="F87" i="7"/>
  <c r="G87" i="7"/>
  <c r="H87" i="7"/>
  <c r="I87" i="7"/>
  <c r="J87" i="7"/>
  <c r="F88" i="7"/>
  <c r="G88" i="7"/>
  <c r="H88" i="7"/>
  <c r="I88" i="7"/>
  <c r="J88" i="7"/>
  <c r="F89" i="7"/>
  <c r="G89" i="7"/>
  <c r="H89" i="7"/>
  <c r="I89" i="7"/>
  <c r="J89" i="7"/>
  <c r="F90" i="7"/>
  <c r="G90" i="7"/>
  <c r="H90" i="7"/>
  <c r="I90" i="7"/>
  <c r="J90" i="7"/>
  <c r="F91" i="7"/>
  <c r="G91" i="7"/>
  <c r="H91" i="7"/>
  <c r="I91" i="7"/>
  <c r="J91" i="7"/>
  <c r="F92" i="7"/>
  <c r="G92" i="7"/>
  <c r="H92" i="7"/>
  <c r="I92" i="7"/>
  <c r="J92" i="7"/>
  <c r="F93" i="7"/>
  <c r="G93" i="7"/>
  <c r="H93" i="7"/>
  <c r="I93" i="7"/>
  <c r="J93" i="7"/>
  <c r="F94" i="7"/>
  <c r="G94" i="7"/>
  <c r="H94" i="7"/>
  <c r="I94" i="7"/>
  <c r="J94" i="7"/>
  <c r="F95" i="7"/>
  <c r="G95" i="7"/>
  <c r="H95" i="7"/>
  <c r="I95" i="7"/>
  <c r="J95" i="7"/>
  <c r="F96" i="7"/>
  <c r="G96" i="7"/>
  <c r="H96" i="7"/>
  <c r="I96" i="7"/>
  <c r="J96" i="7"/>
  <c r="F97" i="7"/>
  <c r="G97" i="7"/>
  <c r="H97" i="7"/>
  <c r="I97" i="7"/>
  <c r="J97" i="7"/>
  <c r="F98" i="7"/>
  <c r="G98" i="7"/>
  <c r="H98" i="7"/>
  <c r="I98" i="7"/>
  <c r="J98" i="7"/>
  <c r="F99" i="7"/>
  <c r="G99" i="7"/>
  <c r="H99" i="7"/>
  <c r="I99" i="7"/>
  <c r="J99" i="7"/>
  <c r="F100" i="7"/>
  <c r="G100" i="7"/>
  <c r="H100" i="7"/>
  <c r="I100" i="7"/>
  <c r="J100" i="7"/>
  <c r="F101" i="7"/>
  <c r="G101" i="7"/>
  <c r="H101" i="7"/>
  <c r="I101" i="7"/>
  <c r="J101" i="7"/>
  <c r="F102" i="7"/>
  <c r="G102" i="7"/>
  <c r="H102" i="7"/>
  <c r="I102" i="7"/>
  <c r="J102" i="7"/>
  <c r="F103" i="7"/>
  <c r="G103" i="7"/>
  <c r="H103" i="7"/>
  <c r="I103" i="7"/>
  <c r="J103" i="7"/>
  <c r="F104" i="7"/>
  <c r="G104" i="7"/>
  <c r="H104" i="7"/>
  <c r="I104" i="7"/>
  <c r="J104" i="7"/>
  <c r="F105" i="7"/>
  <c r="G105" i="7"/>
  <c r="H105" i="7"/>
  <c r="I105" i="7"/>
  <c r="J105" i="7"/>
  <c r="F106" i="7"/>
  <c r="G106" i="7"/>
  <c r="H106" i="7"/>
  <c r="I106" i="7"/>
  <c r="J106" i="7"/>
  <c r="F107" i="7"/>
  <c r="G107" i="7"/>
  <c r="H107" i="7"/>
  <c r="I107" i="7"/>
  <c r="J107" i="7"/>
  <c r="F108" i="7"/>
  <c r="G108" i="7"/>
  <c r="H108" i="7"/>
  <c r="I108" i="7"/>
  <c r="J108" i="7"/>
  <c r="F109" i="7"/>
  <c r="G109" i="7"/>
  <c r="H109" i="7"/>
  <c r="I109" i="7"/>
  <c r="J109" i="7"/>
  <c r="F110" i="7"/>
  <c r="G110" i="7"/>
  <c r="H110" i="7"/>
  <c r="I110" i="7"/>
  <c r="J110" i="7"/>
  <c r="F111" i="7"/>
  <c r="G111" i="7"/>
  <c r="H111" i="7"/>
  <c r="I111" i="7"/>
  <c r="J111" i="7"/>
  <c r="F112" i="7"/>
  <c r="G112" i="7"/>
  <c r="H112" i="7"/>
  <c r="I112" i="7"/>
  <c r="J112" i="7"/>
  <c r="F113" i="7"/>
  <c r="G113" i="7"/>
  <c r="H113" i="7"/>
  <c r="I113" i="7"/>
  <c r="J113" i="7"/>
  <c r="F114" i="7"/>
  <c r="G114" i="7"/>
  <c r="H114" i="7"/>
  <c r="I114" i="7"/>
  <c r="J114" i="7"/>
  <c r="F115" i="7"/>
  <c r="G115" i="7"/>
  <c r="H115" i="7"/>
  <c r="I115" i="7"/>
  <c r="J115" i="7"/>
  <c r="F116" i="7"/>
  <c r="G116" i="7"/>
  <c r="H116" i="7"/>
  <c r="I116" i="7"/>
  <c r="J116" i="7"/>
  <c r="F117" i="7"/>
  <c r="G117" i="7"/>
  <c r="H117" i="7"/>
  <c r="I117" i="7"/>
  <c r="J117" i="7"/>
  <c r="F118" i="7"/>
  <c r="G118" i="7"/>
  <c r="H118" i="7"/>
  <c r="I118" i="7"/>
  <c r="J118" i="7"/>
  <c r="F119" i="7"/>
  <c r="G119" i="7"/>
  <c r="H119" i="7"/>
  <c r="I119" i="7"/>
  <c r="J119" i="7"/>
  <c r="F120" i="7"/>
  <c r="G120" i="7"/>
  <c r="H120" i="7"/>
  <c r="I120" i="7"/>
  <c r="J120" i="7"/>
  <c r="F121" i="7"/>
  <c r="G121" i="7"/>
  <c r="H121" i="7"/>
  <c r="I121" i="7"/>
  <c r="J121" i="7"/>
  <c r="F122" i="7"/>
  <c r="G122" i="7"/>
  <c r="H122" i="7"/>
  <c r="I122" i="7"/>
  <c r="J122" i="7"/>
  <c r="F123" i="7"/>
  <c r="G123" i="7"/>
  <c r="H123" i="7"/>
  <c r="I123" i="7"/>
  <c r="J123" i="7"/>
  <c r="F124" i="7"/>
  <c r="G124" i="7"/>
  <c r="H124" i="7"/>
  <c r="I124" i="7"/>
  <c r="J124" i="7"/>
  <c r="F125" i="7"/>
  <c r="G125" i="7"/>
  <c r="H125" i="7"/>
  <c r="I125" i="7"/>
  <c r="J125" i="7"/>
  <c r="F126" i="7"/>
  <c r="G126" i="7"/>
  <c r="H126" i="7"/>
  <c r="I126" i="7"/>
  <c r="J126" i="7"/>
  <c r="F127" i="7"/>
  <c r="G127" i="7"/>
  <c r="H127" i="7"/>
  <c r="I127" i="7"/>
  <c r="J127" i="7"/>
  <c r="F128" i="7"/>
  <c r="G128" i="7"/>
  <c r="H128" i="7"/>
  <c r="I128" i="7"/>
  <c r="J128" i="7"/>
  <c r="F129" i="7"/>
  <c r="G129" i="7"/>
  <c r="H129" i="7"/>
  <c r="I129" i="7"/>
  <c r="J129" i="7"/>
  <c r="F130" i="7"/>
  <c r="G130" i="7"/>
  <c r="H130" i="7"/>
  <c r="I130" i="7"/>
  <c r="J130" i="7"/>
  <c r="F131" i="7"/>
  <c r="G131" i="7"/>
  <c r="H131" i="7"/>
  <c r="I131" i="7"/>
  <c r="J131" i="7"/>
  <c r="F132" i="7"/>
  <c r="G132" i="7"/>
  <c r="H132" i="7"/>
  <c r="I132" i="7"/>
  <c r="J132" i="7"/>
  <c r="F133" i="7"/>
  <c r="G133" i="7"/>
  <c r="H133" i="7"/>
  <c r="I133" i="7"/>
  <c r="J133" i="7"/>
  <c r="F134" i="7"/>
  <c r="G134" i="7"/>
  <c r="H134" i="7"/>
  <c r="I134" i="7"/>
  <c r="J134" i="7"/>
  <c r="F135" i="7"/>
  <c r="G135" i="7"/>
  <c r="H135" i="7"/>
  <c r="I135" i="7"/>
  <c r="J135" i="7"/>
  <c r="F136" i="7"/>
  <c r="G136" i="7"/>
  <c r="H136" i="7"/>
  <c r="I136" i="7"/>
  <c r="J136" i="7"/>
  <c r="F137" i="7"/>
  <c r="G137" i="7"/>
  <c r="H137" i="7"/>
  <c r="I137" i="7"/>
  <c r="J137" i="7"/>
  <c r="F138" i="7"/>
  <c r="G138" i="7"/>
  <c r="H138" i="7"/>
  <c r="I138" i="7"/>
  <c r="J138" i="7"/>
  <c r="F139" i="7"/>
  <c r="G139" i="7"/>
  <c r="H139" i="7"/>
  <c r="I139" i="7"/>
  <c r="J139" i="7"/>
  <c r="F140" i="7"/>
  <c r="G140" i="7"/>
  <c r="H140" i="7"/>
  <c r="I140" i="7"/>
  <c r="J140" i="7"/>
  <c r="F141" i="7"/>
  <c r="G141" i="7"/>
  <c r="H141" i="7"/>
  <c r="I141" i="7"/>
  <c r="J141" i="7"/>
  <c r="F142" i="7"/>
  <c r="G142" i="7"/>
  <c r="H142" i="7"/>
  <c r="I142" i="7"/>
  <c r="J142" i="7"/>
  <c r="F143" i="7"/>
  <c r="G143" i="7"/>
  <c r="H143" i="7"/>
  <c r="I143" i="7"/>
  <c r="J143" i="7"/>
  <c r="F144" i="7"/>
  <c r="G144" i="7"/>
  <c r="H144" i="7"/>
  <c r="I144" i="7"/>
  <c r="J144" i="7"/>
  <c r="F145" i="7"/>
  <c r="G145" i="7"/>
  <c r="H145" i="7"/>
  <c r="I145" i="7"/>
  <c r="J145" i="7"/>
  <c r="F146" i="7"/>
  <c r="G146" i="7"/>
  <c r="H146" i="7"/>
  <c r="I146" i="7"/>
  <c r="J146" i="7"/>
  <c r="F147" i="7"/>
  <c r="G147" i="7"/>
  <c r="H147" i="7"/>
  <c r="I147" i="7"/>
  <c r="J147" i="7"/>
  <c r="F148" i="7"/>
  <c r="G148" i="7"/>
  <c r="H148" i="7"/>
  <c r="I148" i="7"/>
  <c r="J148" i="7"/>
  <c r="F149" i="7"/>
  <c r="G149" i="7"/>
  <c r="H149" i="7"/>
  <c r="I149" i="7"/>
  <c r="J149" i="7"/>
  <c r="F150" i="7"/>
  <c r="G150" i="7"/>
  <c r="H150" i="7"/>
  <c r="I150" i="7"/>
  <c r="J150" i="7"/>
  <c r="F151" i="7"/>
  <c r="G151" i="7"/>
  <c r="H151" i="7"/>
  <c r="I151" i="7"/>
  <c r="J151" i="7"/>
  <c r="F152" i="7"/>
  <c r="G152" i="7"/>
  <c r="H152" i="7"/>
  <c r="I152" i="7"/>
  <c r="J152" i="7"/>
  <c r="F153" i="7"/>
  <c r="G153" i="7"/>
  <c r="H153" i="7"/>
  <c r="I153" i="7"/>
  <c r="J153" i="7"/>
  <c r="F154" i="7"/>
  <c r="G154" i="7"/>
  <c r="H154" i="7"/>
  <c r="I154" i="7"/>
  <c r="J154" i="7"/>
  <c r="F155" i="7"/>
  <c r="G155" i="7"/>
  <c r="H155" i="7"/>
  <c r="I155" i="7"/>
  <c r="J155" i="7"/>
  <c r="F156" i="7"/>
  <c r="G156" i="7"/>
  <c r="H156" i="7"/>
  <c r="I156" i="7"/>
  <c r="J156" i="7"/>
  <c r="F157" i="7"/>
  <c r="G157" i="7"/>
  <c r="H157" i="7"/>
  <c r="I157" i="7"/>
  <c r="J157" i="7"/>
  <c r="F158" i="7"/>
  <c r="G158" i="7"/>
  <c r="H158" i="7"/>
  <c r="I158" i="7"/>
  <c r="J158" i="7"/>
  <c r="F159" i="7"/>
  <c r="G159" i="7"/>
  <c r="H159" i="7"/>
  <c r="I159" i="7"/>
  <c r="J159" i="7"/>
  <c r="F160" i="7"/>
  <c r="G160" i="7"/>
  <c r="H160" i="7"/>
  <c r="I160" i="7"/>
  <c r="J160" i="7"/>
  <c r="F161" i="7"/>
  <c r="G161" i="7"/>
  <c r="H161" i="7"/>
  <c r="I161" i="7"/>
  <c r="J161" i="7"/>
  <c r="F162" i="7"/>
  <c r="G162" i="7"/>
  <c r="H162" i="7"/>
  <c r="I162" i="7"/>
  <c r="J162" i="7"/>
  <c r="F163" i="7"/>
  <c r="G163" i="7"/>
  <c r="H163" i="7"/>
  <c r="I163" i="7"/>
  <c r="J163" i="7"/>
  <c r="F164" i="7"/>
  <c r="G164" i="7"/>
  <c r="H164" i="7"/>
  <c r="I164" i="7"/>
  <c r="J164" i="7"/>
  <c r="F165" i="7"/>
  <c r="G165" i="7"/>
  <c r="H165" i="7"/>
  <c r="I165" i="7"/>
  <c r="J165" i="7"/>
  <c r="F166" i="7"/>
  <c r="G166" i="7"/>
  <c r="H166" i="7"/>
  <c r="I166" i="7"/>
  <c r="J166" i="7"/>
  <c r="F167" i="7"/>
  <c r="G167" i="7"/>
  <c r="H167" i="7"/>
  <c r="I167" i="7"/>
  <c r="J167" i="7"/>
  <c r="F168" i="7"/>
  <c r="G168" i="7"/>
  <c r="H168" i="7"/>
  <c r="I168" i="7"/>
  <c r="J168" i="7"/>
  <c r="F169" i="7"/>
  <c r="G169" i="7"/>
  <c r="H169" i="7"/>
  <c r="I169" i="7"/>
  <c r="J169" i="7"/>
  <c r="F170" i="7"/>
  <c r="G170" i="7"/>
  <c r="H170" i="7"/>
  <c r="I170" i="7"/>
  <c r="J170" i="7"/>
  <c r="F171" i="7"/>
  <c r="G171" i="7"/>
  <c r="H171" i="7"/>
  <c r="I171" i="7"/>
  <c r="J171" i="7"/>
  <c r="F172" i="7"/>
  <c r="G172" i="7"/>
  <c r="H172" i="7"/>
  <c r="I172" i="7"/>
  <c r="J172" i="7"/>
  <c r="F173" i="7"/>
  <c r="G173" i="7"/>
  <c r="H173" i="7"/>
  <c r="I173" i="7"/>
  <c r="J173" i="7"/>
  <c r="F174" i="7"/>
  <c r="G174" i="7"/>
  <c r="H174" i="7"/>
  <c r="I174" i="7"/>
  <c r="J174" i="7"/>
  <c r="F175" i="7"/>
  <c r="G175" i="7"/>
  <c r="H175" i="7"/>
  <c r="I175" i="7"/>
  <c r="J175" i="7"/>
  <c r="F179" i="7"/>
  <c r="G179" i="7"/>
  <c r="H179" i="7"/>
  <c r="I179" i="7"/>
  <c r="F180" i="7"/>
  <c r="G180" i="7"/>
  <c r="H180" i="7"/>
  <c r="I180" i="7"/>
  <c r="J180" i="7"/>
  <c r="F181" i="7"/>
  <c r="G181" i="7"/>
  <c r="H181" i="7"/>
  <c r="I181" i="7"/>
  <c r="J181" i="7"/>
  <c r="F182" i="7"/>
  <c r="G182" i="7"/>
  <c r="H182" i="7"/>
  <c r="I182" i="7"/>
  <c r="J182" i="7"/>
  <c r="F183" i="7"/>
  <c r="G183" i="7"/>
  <c r="H183" i="7"/>
  <c r="I183" i="7"/>
  <c r="J183" i="7"/>
  <c r="F184" i="7"/>
  <c r="G184" i="7"/>
  <c r="H184" i="7"/>
  <c r="I184" i="7"/>
  <c r="J184" i="7"/>
  <c r="F185" i="7"/>
  <c r="G185" i="7"/>
  <c r="H185" i="7"/>
  <c r="I185" i="7"/>
  <c r="J185" i="7"/>
  <c r="F186" i="7"/>
  <c r="G186" i="7"/>
  <c r="H186" i="7"/>
  <c r="I186" i="7"/>
  <c r="J186" i="7"/>
  <c r="F187" i="7"/>
  <c r="G187" i="7"/>
  <c r="H187" i="7"/>
  <c r="I187" i="7"/>
  <c r="J187" i="7"/>
  <c r="F188" i="7"/>
  <c r="G188" i="7"/>
  <c r="H188" i="7"/>
  <c r="I188" i="7"/>
  <c r="J188" i="7"/>
  <c r="F189" i="7"/>
  <c r="G189" i="7"/>
  <c r="H189" i="7"/>
  <c r="I189" i="7"/>
  <c r="J189" i="7"/>
  <c r="F190" i="7"/>
  <c r="G190" i="7"/>
  <c r="H190" i="7"/>
  <c r="I190" i="7"/>
  <c r="J190" i="7"/>
  <c r="F191" i="7"/>
  <c r="G191" i="7"/>
  <c r="H191" i="7"/>
  <c r="I191" i="7"/>
  <c r="J191" i="7"/>
  <c r="F192" i="7"/>
  <c r="G192" i="7"/>
  <c r="H192" i="7"/>
  <c r="I192" i="7"/>
  <c r="J192" i="7"/>
  <c r="F193" i="7"/>
  <c r="G193" i="7"/>
  <c r="H193" i="7"/>
  <c r="I193" i="7"/>
  <c r="J193" i="7"/>
  <c r="F194" i="7"/>
  <c r="G194" i="7"/>
  <c r="H194" i="7"/>
  <c r="I194" i="7"/>
  <c r="J194" i="7"/>
  <c r="F195" i="7"/>
  <c r="G195" i="7"/>
  <c r="H195" i="7"/>
  <c r="I195" i="7"/>
  <c r="J195" i="7"/>
  <c r="F196" i="7"/>
  <c r="G196" i="7"/>
  <c r="H196" i="7"/>
  <c r="I196" i="7"/>
  <c r="J196" i="7"/>
  <c r="F197" i="7"/>
  <c r="G197" i="7"/>
  <c r="H197" i="7"/>
  <c r="I197" i="7"/>
  <c r="J197" i="7"/>
  <c r="F198" i="7"/>
  <c r="G198" i="7"/>
  <c r="H198" i="7"/>
  <c r="I198" i="7"/>
  <c r="J198" i="7"/>
  <c r="F199" i="7"/>
  <c r="G199" i="7"/>
  <c r="H199" i="7"/>
  <c r="I199" i="7"/>
  <c r="J199" i="7"/>
  <c r="F200" i="7"/>
  <c r="G200" i="7"/>
  <c r="H200" i="7"/>
  <c r="I200" i="7"/>
  <c r="J200" i="7"/>
  <c r="F201" i="7"/>
  <c r="G201" i="7"/>
  <c r="H201" i="7"/>
  <c r="I201" i="7"/>
  <c r="J201" i="7"/>
  <c r="F202" i="7"/>
  <c r="G202" i="7"/>
  <c r="H202" i="7"/>
  <c r="I202" i="7"/>
  <c r="J202" i="7"/>
  <c r="F203" i="7"/>
  <c r="G203" i="7"/>
  <c r="H203" i="7"/>
  <c r="I203" i="7"/>
  <c r="J203" i="7"/>
  <c r="F204" i="7"/>
  <c r="G204" i="7"/>
  <c r="H204" i="7"/>
  <c r="I204" i="7"/>
  <c r="J204" i="7"/>
  <c r="F205" i="7"/>
  <c r="G205" i="7"/>
  <c r="H205" i="7"/>
  <c r="I205" i="7"/>
  <c r="J205" i="7"/>
  <c r="F206" i="7"/>
  <c r="G206" i="7"/>
  <c r="H206" i="7"/>
  <c r="I206" i="7"/>
  <c r="J206" i="7"/>
  <c r="F207" i="7"/>
  <c r="G207" i="7"/>
  <c r="H207" i="7"/>
  <c r="I207" i="7"/>
  <c r="J207" i="7"/>
  <c r="F208" i="7"/>
  <c r="G208" i="7"/>
  <c r="H208" i="7"/>
  <c r="I208" i="7"/>
  <c r="J208" i="7"/>
  <c r="F209" i="7"/>
  <c r="G209" i="7"/>
  <c r="H209" i="7"/>
  <c r="I209" i="7"/>
  <c r="J209" i="7"/>
  <c r="F210" i="7"/>
  <c r="G210" i="7"/>
  <c r="H210" i="7"/>
  <c r="I210" i="7"/>
  <c r="J210" i="7"/>
  <c r="F211" i="7"/>
  <c r="G211" i="7"/>
  <c r="H211" i="7"/>
  <c r="I211" i="7"/>
  <c r="J211" i="7"/>
  <c r="F212" i="7"/>
  <c r="G212" i="7"/>
  <c r="H212" i="7"/>
  <c r="I212" i="7"/>
  <c r="J212" i="7"/>
  <c r="F213" i="7"/>
  <c r="G213" i="7"/>
  <c r="H213" i="7"/>
  <c r="I213" i="7"/>
  <c r="J213" i="7"/>
  <c r="F214" i="7"/>
  <c r="G214" i="7"/>
  <c r="H214" i="7"/>
  <c r="I214" i="7"/>
  <c r="J214" i="7"/>
  <c r="F215" i="7"/>
  <c r="G215" i="7"/>
  <c r="H215" i="7"/>
  <c r="I215" i="7"/>
  <c r="J215" i="7"/>
  <c r="F216" i="7"/>
  <c r="G216" i="7"/>
  <c r="H216" i="7"/>
  <c r="I216" i="7"/>
  <c r="J216" i="7"/>
  <c r="F217" i="7"/>
  <c r="G217" i="7"/>
  <c r="H217" i="7"/>
  <c r="I217" i="7"/>
  <c r="J217" i="7"/>
  <c r="F218" i="7"/>
  <c r="G218" i="7"/>
  <c r="H218" i="7"/>
  <c r="I218" i="7"/>
  <c r="J218" i="7"/>
  <c r="F219" i="7"/>
  <c r="G219" i="7"/>
  <c r="H219" i="7"/>
  <c r="I219" i="7"/>
  <c r="J219" i="7"/>
  <c r="F220" i="7"/>
  <c r="G220" i="7"/>
  <c r="H220" i="7"/>
  <c r="I220" i="7"/>
  <c r="J220" i="7"/>
  <c r="F221" i="7"/>
  <c r="G221" i="7"/>
  <c r="H221" i="7"/>
  <c r="I221" i="7"/>
  <c r="J221" i="7"/>
  <c r="F222" i="7"/>
  <c r="G222" i="7"/>
  <c r="H222" i="7"/>
  <c r="I222" i="7"/>
  <c r="J222" i="7"/>
  <c r="F223" i="7"/>
  <c r="G223" i="7"/>
  <c r="H223" i="7"/>
  <c r="I223" i="7"/>
  <c r="J223" i="7"/>
  <c r="F224" i="7"/>
  <c r="G224" i="7"/>
  <c r="H224" i="7"/>
  <c r="I224" i="7"/>
  <c r="J224" i="7"/>
  <c r="F225" i="7"/>
  <c r="G225" i="7"/>
  <c r="H225" i="7"/>
  <c r="I225" i="7"/>
  <c r="J225" i="7"/>
  <c r="F226" i="7"/>
  <c r="G226" i="7"/>
  <c r="H226" i="7"/>
  <c r="I226" i="7"/>
  <c r="J226" i="7"/>
  <c r="F227" i="7"/>
  <c r="G227" i="7"/>
  <c r="H227" i="7"/>
  <c r="I227" i="7"/>
  <c r="J227" i="7"/>
  <c r="F228" i="7"/>
  <c r="G228" i="7"/>
  <c r="H228" i="7"/>
  <c r="I228" i="7"/>
  <c r="J228" i="7"/>
  <c r="F229" i="7"/>
  <c r="G229" i="7"/>
  <c r="H229" i="7"/>
  <c r="I229" i="7"/>
  <c r="J229" i="7"/>
  <c r="F230" i="7"/>
  <c r="G230" i="7"/>
  <c r="H230" i="7"/>
  <c r="I230" i="7"/>
  <c r="J230" i="7"/>
  <c r="F231" i="7"/>
  <c r="G231" i="7"/>
  <c r="H231" i="7"/>
  <c r="I231" i="7"/>
  <c r="J231" i="7"/>
  <c r="F232" i="7"/>
  <c r="G232" i="7"/>
  <c r="H232" i="7"/>
  <c r="I232" i="7"/>
  <c r="J232" i="7"/>
  <c r="F233" i="7"/>
  <c r="G233" i="7"/>
  <c r="H233" i="7"/>
  <c r="I233" i="7"/>
  <c r="J233" i="7"/>
  <c r="F234" i="7"/>
  <c r="G234" i="7"/>
  <c r="H234" i="7"/>
  <c r="I234" i="7"/>
  <c r="J234" i="7"/>
  <c r="F235" i="7"/>
  <c r="G235" i="7"/>
  <c r="H235" i="7"/>
  <c r="I235" i="7"/>
  <c r="J235" i="7"/>
  <c r="F236" i="7"/>
  <c r="G236" i="7"/>
  <c r="H236" i="7"/>
  <c r="I236" i="7"/>
  <c r="J236" i="7"/>
  <c r="F237" i="7"/>
  <c r="G237" i="7"/>
  <c r="H237" i="7"/>
  <c r="I237" i="7"/>
  <c r="J237" i="7"/>
  <c r="F238" i="7"/>
  <c r="G238" i="7"/>
  <c r="H238" i="7"/>
  <c r="I238" i="7"/>
  <c r="J238" i="7"/>
  <c r="F239" i="7"/>
  <c r="G239" i="7"/>
  <c r="H239" i="7"/>
  <c r="I239" i="7"/>
  <c r="J239" i="7"/>
  <c r="F240" i="7"/>
  <c r="G240" i="7"/>
  <c r="H240" i="7"/>
  <c r="I240" i="7"/>
  <c r="J240" i="7"/>
  <c r="F241" i="7"/>
  <c r="G241" i="7"/>
  <c r="H241" i="7"/>
  <c r="I241" i="7"/>
  <c r="J241" i="7"/>
  <c r="F242" i="7"/>
  <c r="G242" i="7"/>
  <c r="H242" i="7"/>
  <c r="I242" i="7"/>
  <c r="J242" i="7"/>
  <c r="F243" i="7"/>
  <c r="G243" i="7"/>
  <c r="H243" i="7"/>
  <c r="I243" i="7"/>
  <c r="J243" i="7"/>
  <c r="F244" i="7"/>
  <c r="G244" i="7"/>
  <c r="H244" i="7"/>
  <c r="I244" i="7"/>
  <c r="J244" i="7"/>
  <c r="F245" i="7"/>
  <c r="G245" i="7"/>
  <c r="H245" i="7"/>
  <c r="I245" i="7"/>
  <c r="J245" i="7"/>
  <c r="F246" i="7"/>
  <c r="G246" i="7"/>
  <c r="H246" i="7"/>
  <c r="I246" i="7"/>
  <c r="J246" i="7"/>
  <c r="F247" i="7"/>
  <c r="G247" i="7"/>
  <c r="H247" i="7"/>
  <c r="I247" i="7"/>
  <c r="J247" i="7"/>
  <c r="F248" i="7"/>
  <c r="G248" i="7"/>
  <c r="H248" i="7"/>
  <c r="I248" i="7"/>
  <c r="J248" i="7"/>
  <c r="F249" i="7"/>
  <c r="G249" i="7"/>
  <c r="H249" i="7"/>
  <c r="I249" i="7"/>
  <c r="J249" i="7"/>
  <c r="F250" i="7"/>
  <c r="G250" i="7"/>
  <c r="H250" i="7"/>
  <c r="I250" i="7"/>
  <c r="J250" i="7"/>
  <c r="F251" i="7"/>
  <c r="G251" i="7"/>
  <c r="H251" i="7"/>
  <c r="I251" i="7"/>
  <c r="J251" i="7"/>
  <c r="F252" i="7"/>
  <c r="G252" i="7"/>
  <c r="H252" i="7"/>
  <c r="I252" i="7"/>
  <c r="J252" i="7"/>
  <c r="F253" i="7"/>
  <c r="G253" i="7"/>
  <c r="H253" i="7"/>
  <c r="I253" i="7"/>
  <c r="J253" i="7"/>
  <c r="F254" i="7"/>
  <c r="G254" i="7"/>
  <c r="H254" i="7"/>
  <c r="I254" i="7"/>
  <c r="J254" i="7"/>
  <c r="F255" i="7"/>
  <c r="G255" i="7"/>
  <c r="H255" i="7"/>
  <c r="I255" i="7"/>
  <c r="J255" i="7"/>
  <c r="F256" i="7"/>
  <c r="G256" i="7"/>
  <c r="H256" i="7"/>
  <c r="I256" i="7"/>
  <c r="J256" i="7"/>
  <c r="F257" i="7"/>
  <c r="G257" i="7"/>
  <c r="H257" i="7"/>
  <c r="I257" i="7"/>
  <c r="J257" i="7"/>
  <c r="F258" i="7"/>
  <c r="G258" i="7"/>
  <c r="H258" i="7"/>
  <c r="I258" i="7"/>
  <c r="J258" i="7"/>
  <c r="F259" i="7"/>
  <c r="G259" i="7"/>
  <c r="H259" i="7"/>
  <c r="I259" i="7"/>
  <c r="J259" i="7"/>
  <c r="F260" i="7"/>
  <c r="G260" i="7"/>
  <c r="H260" i="7"/>
  <c r="I260" i="7"/>
  <c r="J260" i="7"/>
  <c r="F261" i="7"/>
  <c r="G261" i="7"/>
  <c r="H261" i="7"/>
  <c r="I261" i="7"/>
  <c r="J261" i="7"/>
  <c r="F262" i="7"/>
  <c r="G262" i="7"/>
  <c r="H262" i="7"/>
  <c r="I262" i="7"/>
  <c r="J262" i="7"/>
  <c r="F267" i="7"/>
  <c r="G267" i="7"/>
  <c r="H267" i="7"/>
  <c r="I267" i="7"/>
  <c r="F268" i="7"/>
  <c r="G268" i="7"/>
  <c r="H268" i="7"/>
  <c r="I268" i="7"/>
  <c r="J268" i="7"/>
  <c r="F269" i="7"/>
  <c r="G269" i="7"/>
  <c r="H269" i="7"/>
  <c r="I269" i="7"/>
  <c r="J269" i="7"/>
  <c r="F270" i="7"/>
  <c r="G270" i="7"/>
  <c r="H270" i="7"/>
  <c r="I270" i="7"/>
  <c r="J270" i="7"/>
  <c r="F271" i="7"/>
  <c r="G271" i="7"/>
  <c r="H271" i="7"/>
  <c r="I271" i="7"/>
  <c r="J271" i="7"/>
  <c r="F272" i="7"/>
  <c r="G272" i="7"/>
  <c r="H272" i="7"/>
  <c r="I272" i="7"/>
  <c r="J272" i="7"/>
  <c r="F273" i="7"/>
  <c r="G273" i="7"/>
  <c r="H273" i="7"/>
  <c r="I273" i="7"/>
  <c r="J273" i="7"/>
  <c r="F274" i="7"/>
  <c r="G274" i="7"/>
  <c r="H274" i="7"/>
  <c r="I274" i="7"/>
  <c r="J274" i="7"/>
  <c r="F275" i="7"/>
  <c r="G275" i="7"/>
  <c r="H275" i="7"/>
  <c r="I275" i="7"/>
  <c r="J275" i="7"/>
  <c r="F276" i="7"/>
  <c r="G276" i="7"/>
  <c r="H276" i="7"/>
  <c r="I276" i="7"/>
  <c r="J276" i="7"/>
  <c r="F277" i="7"/>
  <c r="G277" i="7"/>
  <c r="H277" i="7"/>
  <c r="I277" i="7"/>
  <c r="J277" i="7"/>
  <c r="F278" i="7"/>
  <c r="G278" i="7"/>
  <c r="H278" i="7"/>
  <c r="I278" i="7"/>
  <c r="J278" i="7"/>
  <c r="F279" i="7"/>
  <c r="G279" i="7"/>
  <c r="H279" i="7"/>
  <c r="I279" i="7"/>
  <c r="J279" i="7"/>
  <c r="F280" i="7"/>
  <c r="G280" i="7"/>
  <c r="H280" i="7"/>
  <c r="I280" i="7"/>
  <c r="J280" i="7"/>
  <c r="F281" i="7"/>
  <c r="G281" i="7"/>
  <c r="H281" i="7"/>
  <c r="I281" i="7"/>
  <c r="J281" i="7"/>
  <c r="F282" i="7"/>
  <c r="G282" i="7"/>
  <c r="H282" i="7"/>
  <c r="I282" i="7"/>
  <c r="J282" i="7"/>
  <c r="F283" i="7"/>
  <c r="G283" i="7"/>
  <c r="H283" i="7"/>
  <c r="I283" i="7"/>
  <c r="J283" i="7"/>
  <c r="F284" i="7"/>
  <c r="G284" i="7"/>
  <c r="H284" i="7"/>
  <c r="I284" i="7"/>
  <c r="J284" i="7"/>
  <c r="F285" i="7"/>
  <c r="G285" i="7"/>
  <c r="H285" i="7"/>
  <c r="I285" i="7"/>
  <c r="J285" i="7"/>
  <c r="F286" i="7"/>
  <c r="G286" i="7"/>
  <c r="H286" i="7"/>
  <c r="I286" i="7"/>
  <c r="J286" i="7"/>
  <c r="F287" i="7"/>
  <c r="G287" i="7"/>
  <c r="H287" i="7"/>
  <c r="I287" i="7"/>
  <c r="J287" i="7"/>
  <c r="F288" i="7"/>
  <c r="G288" i="7"/>
  <c r="H288" i="7"/>
  <c r="I288" i="7"/>
  <c r="J288" i="7"/>
  <c r="F289" i="7"/>
  <c r="G289" i="7"/>
  <c r="H289" i="7"/>
  <c r="I289" i="7"/>
  <c r="J289" i="7"/>
  <c r="F290" i="7"/>
  <c r="G290" i="7"/>
  <c r="H290" i="7"/>
  <c r="I290" i="7"/>
  <c r="J290" i="7"/>
  <c r="F291" i="7"/>
  <c r="G291" i="7"/>
  <c r="H291" i="7"/>
  <c r="I291" i="7"/>
  <c r="J291" i="7"/>
  <c r="F292" i="7"/>
  <c r="G292" i="7"/>
  <c r="H292" i="7"/>
  <c r="I292" i="7"/>
  <c r="J292" i="7"/>
  <c r="F293" i="7"/>
  <c r="G293" i="7"/>
  <c r="H293" i="7"/>
  <c r="I293" i="7"/>
  <c r="J293" i="7"/>
  <c r="F294" i="7"/>
  <c r="G294" i="7"/>
  <c r="H294" i="7"/>
  <c r="I294" i="7"/>
  <c r="J294" i="7"/>
  <c r="F295" i="7"/>
  <c r="G295" i="7"/>
  <c r="H295" i="7"/>
  <c r="I295" i="7"/>
  <c r="J295" i="7"/>
  <c r="F296" i="7"/>
  <c r="G296" i="7"/>
  <c r="H296" i="7"/>
  <c r="I296" i="7"/>
  <c r="J296" i="7"/>
  <c r="F297" i="7"/>
  <c r="G297" i="7"/>
  <c r="H297" i="7"/>
  <c r="I297" i="7"/>
  <c r="J297" i="7"/>
  <c r="F298" i="7"/>
  <c r="G298" i="7"/>
  <c r="H298" i="7"/>
  <c r="I298" i="7"/>
  <c r="J298" i="7"/>
  <c r="F299" i="7"/>
  <c r="G299" i="7"/>
  <c r="H299" i="7"/>
  <c r="I299" i="7"/>
  <c r="J299" i="7"/>
  <c r="F300" i="7"/>
  <c r="G300" i="7"/>
  <c r="H300" i="7"/>
  <c r="I300" i="7"/>
  <c r="J300" i="7"/>
  <c r="F301" i="7"/>
  <c r="G301" i="7"/>
  <c r="H301" i="7"/>
  <c r="I301" i="7"/>
  <c r="J301" i="7"/>
  <c r="F302" i="7"/>
  <c r="G302" i="7"/>
  <c r="H302" i="7"/>
  <c r="I302" i="7"/>
  <c r="J302" i="7"/>
  <c r="F303" i="7"/>
  <c r="G303" i="7"/>
  <c r="H303" i="7"/>
  <c r="I303" i="7"/>
  <c r="J303" i="7"/>
  <c r="F304" i="7"/>
  <c r="G304" i="7"/>
  <c r="H304" i="7"/>
  <c r="I304" i="7"/>
  <c r="J304" i="7"/>
  <c r="F305" i="7"/>
  <c r="G305" i="7"/>
  <c r="H305" i="7"/>
  <c r="I305" i="7"/>
  <c r="J305" i="7"/>
  <c r="F306" i="7"/>
  <c r="G306" i="7"/>
  <c r="H306" i="7"/>
  <c r="I306" i="7"/>
  <c r="J306" i="7"/>
  <c r="F307" i="7"/>
  <c r="G307" i="7"/>
  <c r="H307" i="7"/>
  <c r="I307" i="7"/>
  <c r="J307" i="7"/>
  <c r="F308" i="7"/>
  <c r="G308" i="7"/>
  <c r="H308" i="7"/>
  <c r="I308" i="7"/>
  <c r="J308" i="7"/>
  <c r="F309" i="7"/>
  <c r="G309" i="7"/>
  <c r="H309" i="7"/>
  <c r="I309" i="7"/>
  <c r="J309" i="7"/>
  <c r="F310" i="7"/>
  <c r="G310" i="7"/>
  <c r="H310" i="7"/>
  <c r="I310" i="7"/>
  <c r="J310" i="7"/>
  <c r="M23" i="7"/>
  <c r="P97" i="7"/>
  <c r="P76" i="7"/>
  <c r="P56" i="7"/>
  <c r="P57" i="7"/>
  <c r="P53" i="7"/>
  <c r="Q52" i="7"/>
  <c r="P52" i="7"/>
  <c r="M22" i="7"/>
  <c r="N21" i="1" a="1"/>
  <c r="N21" i="1"/>
  <c r="M111" i="7"/>
  <c r="Q105" i="7"/>
  <c r="P105" i="7"/>
  <c r="Q104" i="7"/>
  <c r="P104" i="7"/>
  <c r="Q103" i="7"/>
  <c r="P103" i="7"/>
  <c r="Q102" i="7"/>
  <c r="P102" i="7"/>
  <c r="Q101" i="7"/>
  <c r="P101" i="7"/>
  <c r="Q100" i="7"/>
  <c r="P100" i="7"/>
  <c r="Q99" i="7"/>
  <c r="P99" i="7"/>
  <c r="Q98" i="7"/>
  <c r="P98" i="7"/>
  <c r="Q97" i="7"/>
  <c r="Q82" i="7"/>
  <c r="P82" i="7"/>
  <c r="Q81" i="7"/>
  <c r="P81" i="7"/>
  <c r="Q80" i="7"/>
  <c r="P80" i="7"/>
  <c r="Q79" i="7"/>
  <c r="P79" i="7"/>
  <c r="Q78" i="7"/>
  <c r="P78" i="7"/>
  <c r="Q77" i="7"/>
  <c r="P77" i="7"/>
  <c r="Q76" i="7"/>
  <c r="Q75" i="7"/>
  <c r="P75" i="7"/>
  <c r="Q60" i="7"/>
  <c r="P60" i="7"/>
  <c r="Q59" i="7"/>
  <c r="P59" i="7"/>
  <c r="Q58" i="7"/>
  <c r="P58" i="7"/>
  <c r="Q57" i="7"/>
  <c r="Q56" i="7"/>
  <c r="Q55" i="7"/>
  <c r="P55" i="7"/>
  <c r="Q54" i="7"/>
  <c r="P54" i="7"/>
  <c r="Q53" i="7"/>
  <c r="Q36" i="7"/>
  <c r="P36" i="7"/>
  <c r="Q35" i="7"/>
  <c r="P35" i="7"/>
  <c r="Q34" i="7"/>
  <c r="P34" i="7"/>
  <c r="Q33" i="7"/>
  <c r="Q32" i="7"/>
  <c r="P32" i="7"/>
  <c r="Q31" i="7"/>
  <c r="Q5" i="7"/>
  <c r="P8" i="7"/>
  <c r="P5" i="7"/>
  <c r="R126" i="1"/>
  <c r="T128" i="1"/>
  <c r="M126" i="1"/>
  <c r="M127" i="1"/>
  <c r="M128" i="1"/>
  <c r="M129" i="1"/>
  <c r="M130" i="1"/>
  <c r="M131" i="1"/>
  <c r="M132" i="1"/>
  <c r="M133" i="1"/>
  <c r="M134" i="1"/>
  <c r="M135" i="1"/>
  <c r="N126" i="1" a="1"/>
  <c r="N126" i="1"/>
  <c r="Q14" i="7"/>
  <c r="P14" i="7"/>
  <c r="Q13" i="7"/>
  <c r="P13" i="7"/>
  <c r="Q12" i="7"/>
  <c r="P12" i="7"/>
  <c r="Q11" i="7"/>
  <c r="P11" i="7"/>
  <c r="Q10" i="7"/>
  <c r="P10" i="7"/>
  <c r="Q9" i="7"/>
  <c r="P9" i="7"/>
  <c r="Q8" i="7"/>
  <c r="Q7" i="7"/>
  <c r="P7" i="7"/>
  <c r="Q6" i="7"/>
  <c r="P6" i="7"/>
  <c r="K3" i="1"/>
  <c r="H2" i="7"/>
  <c r="G3" i="7"/>
  <c r="F4" i="7"/>
  <c r="H10" i="7"/>
  <c r="I10" i="7" s="1"/>
  <c r="G10" i="7"/>
  <c r="F10" i="7"/>
  <c r="H9" i="7"/>
  <c r="I9" i="7" s="1"/>
  <c r="G9" i="7"/>
  <c r="F9" i="7"/>
  <c r="H8" i="7"/>
  <c r="I8" i="7" s="1"/>
  <c r="G8" i="7"/>
  <c r="F8" i="7"/>
  <c r="H7" i="7"/>
  <c r="I7" i="7" s="1"/>
  <c r="G7" i="7"/>
  <c r="F7" i="7"/>
  <c r="H6" i="7"/>
  <c r="I6" i="7" s="1"/>
  <c r="G6" i="7"/>
  <c r="F6" i="7"/>
  <c r="H5" i="7"/>
  <c r="I5" i="7" s="1"/>
  <c r="G5" i="7"/>
  <c r="F5" i="7"/>
  <c r="H4" i="7"/>
  <c r="I4" i="7" s="1"/>
  <c r="G4" i="7"/>
  <c r="H3" i="7"/>
  <c r="I3" i="7" s="1"/>
  <c r="F3" i="7"/>
  <c r="N158" i="1"/>
  <c r="N157" i="1"/>
  <c r="M4" i="1"/>
  <c r="D14" i="3"/>
  <c r="D6" i="3"/>
  <c r="D7" i="3"/>
  <c r="D8" i="3"/>
  <c r="D9" i="3"/>
  <c r="D10" i="3"/>
  <c r="D11" i="3"/>
  <c r="D12" i="3"/>
  <c r="D13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E5" i="3"/>
  <c r="M142" i="1"/>
  <c r="N160" i="1"/>
  <c r="M159" i="1"/>
  <c r="S148" i="1"/>
  <c r="S149" i="1"/>
  <c r="S150" i="1"/>
  <c r="S151" i="1"/>
  <c r="S152" i="1"/>
  <c r="S153" i="1"/>
  <c r="S154" i="1"/>
  <c r="S155" i="1"/>
  <c r="R148" i="1"/>
  <c r="R149" i="1"/>
  <c r="R150" i="1"/>
  <c r="R151" i="1"/>
  <c r="R152" i="1"/>
  <c r="R153" i="1"/>
  <c r="R154" i="1"/>
  <c r="R155" i="1"/>
  <c r="R147" i="1"/>
  <c r="S147" i="1"/>
  <c r="M156" i="1"/>
  <c r="T148" i="1"/>
  <c r="U148" i="1" s="1"/>
  <c r="V148" i="1" s="1"/>
  <c r="W148" i="1" s="1"/>
  <c r="X148" i="1" s="1"/>
  <c r="T149" i="1"/>
  <c r="U149" i="1" s="1"/>
  <c r="V149" i="1" s="1"/>
  <c r="W149" i="1" s="1"/>
  <c r="X149" i="1" s="1"/>
  <c r="T150" i="1"/>
  <c r="U150" i="1" s="1"/>
  <c r="V150" i="1" s="1"/>
  <c r="W150" i="1" s="1"/>
  <c r="X150" i="1" s="1"/>
  <c r="T151" i="1"/>
  <c r="U151" i="1" s="1"/>
  <c r="V151" i="1" s="1"/>
  <c r="W151" i="1" s="1"/>
  <c r="X151" i="1" s="1"/>
  <c r="T152" i="1"/>
  <c r="U152" i="1" s="1"/>
  <c r="V152" i="1" s="1"/>
  <c r="W152" i="1" s="1"/>
  <c r="X152" i="1" s="1"/>
  <c r="T153" i="1"/>
  <c r="U153" i="1" s="1"/>
  <c r="V153" i="1" s="1"/>
  <c r="W153" i="1" s="1"/>
  <c r="X153" i="1" s="1"/>
  <c r="T154" i="1"/>
  <c r="U154" i="1" s="1"/>
  <c r="V154" i="1" s="1"/>
  <c r="W154" i="1" s="1"/>
  <c r="X154" i="1" s="1"/>
  <c r="T155" i="1"/>
  <c r="U155" i="1" s="1"/>
  <c r="V155" i="1" s="1"/>
  <c r="W155" i="1" s="1"/>
  <c r="X155" i="1" s="1"/>
  <c r="N147" i="1" a="1"/>
  <c r="N147" i="1"/>
  <c r="S108" i="1"/>
  <c r="S109" i="1"/>
  <c r="S110" i="1"/>
  <c r="S111" i="1"/>
  <c r="S112" i="1"/>
  <c r="S113" i="1"/>
  <c r="S114" i="1"/>
  <c r="R108" i="1"/>
  <c r="R109" i="1"/>
  <c r="R110" i="1"/>
  <c r="R111" i="1"/>
  <c r="R112" i="1"/>
  <c r="R113" i="1"/>
  <c r="R114" i="1"/>
  <c r="S107" i="1"/>
  <c r="R107" i="1"/>
  <c r="S68" i="1"/>
  <c r="S69" i="1"/>
  <c r="S70" i="1"/>
  <c r="S71" i="1"/>
  <c r="S72" i="1"/>
  <c r="S73" i="1"/>
  <c r="S74" i="1"/>
  <c r="S75" i="1"/>
  <c r="R68" i="1"/>
  <c r="R69" i="1"/>
  <c r="R70" i="1"/>
  <c r="R71" i="1"/>
  <c r="R72" i="1"/>
  <c r="R73" i="1"/>
  <c r="R74" i="1"/>
  <c r="R75" i="1"/>
  <c r="S67" i="1"/>
  <c r="R67" i="1"/>
  <c r="S22" i="1"/>
  <c r="S23" i="1"/>
  <c r="S24" i="1"/>
  <c r="S25" i="1"/>
  <c r="S26" i="1"/>
  <c r="R22" i="1"/>
  <c r="R23" i="1"/>
  <c r="R24" i="1"/>
  <c r="R25" i="1"/>
  <c r="R26" i="1"/>
  <c r="S21" i="1"/>
  <c r="R21" i="1"/>
  <c r="E7" i="3"/>
  <c r="E8" i="3"/>
  <c r="E1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D177" i="3"/>
  <c r="D179" i="3" s="1"/>
  <c r="H2" i="1"/>
  <c r="I2" i="1" s="1"/>
  <c r="G3" i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2" i="1"/>
  <c r="G176" i="1"/>
  <c r="M54" i="1"/>
  <c r="S134" i="1"/>
  <c r="R134" i="1"/>
  <c r="S127" i="1"/>
  <c r="S128" i="1"/>
  <c r="S129" i="1"/>
  <c r="S130" i="1"/>
  <c r="S131" i="1"/>
  <c r="S132" i="1"/>
  <c r="S133" i="1"/>
  <c r="S135" i="1"/>
  <c r="S126" i="1"/>
  <c r="R133" i="1"/>
  <c r="R135" i="1"/>
  <c r="R127" i="1"/>
  <c r="R128" i="1"/>
  <c r="R129" i="1"/>
  <c r="R130" i="1"/>
  <c r="R131" i="1"/>
  <c r="R132" i="1"/>
  <c r="S89" i="1"/>
  <c r="R91" i="1"/>
  <c r="R86" i="1"/>
  <c r="M92" i="1"/>
  <c r="M86" i="1"/>
  <c r="S87" i="1"/>
  <c r="S88" i="1"/>
  <c r="S90" i="1"/>
  <c r="S91" i="1"/>
  <c r="S92" i="1"/>
  <c r="S86" i="1"/>
  <c r="T86" i="1" s="1"/>
  <c r="R87" i="1"/>
  <c r="R88" i="1"/>
  <c r="R89" i="1"/>
  <c r="R90" i="1"/>
  <c r="R92" i="1"/>
  <c r="U86" i="1"/>
  <c r="M87" i="1"/>
  <c r="T87" i="1"/>
  <c r="U87" i="1" s="1"/>
  <c r="M88" i="1"/>
  <c r="M89" i="1"/>
  <c r="T89" i="1"/>
  <c r="U89" i="1" s="1"/>
  <c r="M90" i="1"/>
  <c r="T90" i="1"/>
  <c r="U90" i="1" s="1"/>
  <c r="M91" i="1"/>
  <c r="T91" i="1"/>
  <c r="U91" i="1" s="1"/>
  <c r="T92" i="1"/>
  <c r="U92" i="1" s="1"/>
  <c r="F310" i="1"/>
  <c r="G310" i="1"/>
  <c r="H310" i="1"/>
  <c r="I310" i="1" s="1"/>
  <c r="F309" i="1"/>
  <c r="G309" i="1"/>
  <c r="H309" i="1"/>
  <c r="I309" i="1" s="1"/>
  <c r="F308" i="1"/>
  <c r="G308" i="1"/>
  <c r="H308" i="1"/>
  <c r="I308" i="1" s="1"/>
  <c r="F307" i="1"/>
  <c r="G307" i="1"/>
  <c r="H307" i="1"/>
  <c r="I307" i="1" s="1"/>
  <c r="F306" i="1"/>
  <c r="G306" i="1"/>
  <c r="H306" i="1"/>
  <c r="I306" i="1" s="1"/>
  <c r="F305" i="1"/>
  <c r="G305" i="1"/>
  <c r="H305" i="1"/>
  <c r="I305" i="1" s="1"/>
  <c r="F304" i="1"/>
  <c r="G304" i="1"/>
  <c r="H304" i="1"/>
  <c r="I304" i="1" s="1"/>
  <c r="S47" i="1"/>
  <c r="S48" i="1"/>
  <c r="S49" i="1"/>
  <c r="S50" i="1"/>
  <c r="S51" i="1"/>
  <c r="S52" i="1"/>
  <c r="S53" i="1"/>
  <c r="S54" i="1"/>
  <c r="S55" i="1"/>
  <c r="S56" i="1"/>
  <c r="S57" i="1"/>
  <c r="S46" i="1"/>
  <c r="R47" i="1"/>
  <c r="R48" i="1"/>
  <c r="R49" i="1"/>
  <c r="R50" i="1"/>
  <c r="R51" i="1"/>
  <c r="R52" i="1"/>
  <c r="R53" i="1"/>
  <c r="R54" i="1"/>
  <c r="R55" i="1"/>
  <c r="R56" i="1"/>
  <c r="R57" i="1"/>
  <c r="R46" i="1"/>
  <c r="F303" i="1"/>
  <c r="G303" i="1"/>
  <c r="H303" i="1"/>
  <c r="I303" i="1" s="1"/>
  <c r="F301" i="1"/>
  <c r="G301" i="1"/>
  <c r="H301" i="1"/>
  <c r="I301" i="1" s="1"/>
  <c r="F302" i="1"/>
  <c r="G302" i="1"/>
  <c r="J302" i="1" s="1"/>
  <c r="H302" i="1"/>
  <c r="I302" i="1" s="1"/>
  <c r="F300" i="1"/>
  <c r="G300" i="1"/>
  <c r="H300" i="1"/>
  <c r="I300" i="1" s="1"/>
  <c r="F299" i="1"/>
  <c r="G299" i="1"/>
  <c r="H299" i="1"/>
  <c r="I299" i="1" s="1"/>
  <c r="F298" i="1"/>
  <c r="G298" i="1"/>
  <c r="H298" i="1"/>
  <c r="I298" i="1" s="1"/>
  <c r="F296" i="1"/>
  <c r="G296" i="1"/>
  <c r="H296" i="1"/>
  <c r="I296" i="1" s="1"/>
  <c r="F297" i="1"/>
  <c r="G297" i="1"/>
  <c r="J297" i="1" s="1"/>
  <c r="H297" i="1"/>
  <c r="I297" i="1" s="1"/>
  <c r="F294" i="1"/>
  <c r="G294" i="1"/>
  <c r="H294" i="1"/>
  <c r="I294" i="1" s="1"/>
  <c r="F295" i="1"/>
  <c r="G295" i="1"/>
  <c r="J295" i="1" s="1"/>
  <c r="H295" i="1"/>
  <c r="I295" i="1" s="1"/>
  <c r="F293" i="1"/>
  <c r="G293" i="1"/>
  <c r="H293" i="1"/>
  <c r="I293" i="1" s="1"/>
  <c r="F292" i="1"/>
  <c r="G292" i="1"/>
  <c r="H292" i="1"/>
  <c r="I292" i="1" s="1"/>
  <c r="F291" i="1"/>
  <c r="G291" i="1"/>
  <c r="H291" i="1"/>
  <c r="I291" i="1" s="1"/>
  <c r="F290" i="1"/>
  <c r="G290" i="1"/>
  <c r="H290" i="1"/>
  <c r="I290" i="1" s="1"/>
  <c r="F289" i="1"/>
  <c r="G289" i="1"/>
  <c r="H289" i="1"/>
  <c r="I289" i="1" s="1"/>
  <c r="F286" i="1"/>
  <c r="G286" i="1"/>
  <c r="H286" i="1"/>
  <c r="I286" i="1" s="1"/>
  <c r="F287" i="1"/>
  <c r="G287" i="1"/>
  <c r="J287" i="1" s="1"/>
  <c r="H287" i="1"/>
  <c r="I287" i="1" s="1"/>
  <c r="F288" i="1"/>
  <c r="G288" i="1"/>
  <c r="J288" i="1" s="1"/>
  <c r="H288" i="1"/>
  <c r="I288" i="1" s="1"/>
  <c r="F282" i="1"/>
  <c r="G282" i="1"/>
  <c r="H282" i="1"/>
  <c r="I282" i="1" s="1"/>
  <c r="F283" i="1"/>
  <c r="G283" i="1"/>
  <c r="J283" i="1" s="1"/>
  <c r="H283" i="1"/>
  <c r="I283" i="1" s="1"/>
  <c r="F284" i="1"/>
  <c r="G284" i="1"/>
  <c r="J284" i="1" s="1"/>
  <c r="H284" i="1"/>
  <c r="I284" i="1" s="1"/>
  <c r="F285" i="1"/>
  <c r="G285" i="1"/>
  <c r="J285" i="1" s="1"/>
  <c r="H285" i="1"/>
  <c r="I285" i="1" s="1"/>
  <c r="F281" i="1"/>
  <c r="G281" i="1"/>
  <c r="H281" i="1"/>
  <c r="I281" i="1" s="1"/>
  <c r="M53" i="1"/>
  <c r="M55" i="1"/>
  <c r="M56" i="1"/>
  <c r="M57" i="1"/>
  <c r="F280" i="1"/>
  <c r="G280" i="1"/>
  <c r="H280" i="1"/>
  <c r="I280" i="1" s="1"/>
  <c r="F278" i="1"/>
  <c r="G278" i="1"/>
  <c r="H278" i="1"/>
  <c r="I278" i="1" s="1"/>
  <c r="F279" i="1"/>
  <c r="G279" i="1"/>
  <c r="J279" i="1" s="1"/>
  <c r="H279" i="1"/>
  <c r="I279" i="1" s="1"/>
  <c r="M46" i="1"/>
  <c r="F277" i="1"/>
  <c r="G277" i="1"/>
  <c r="H277" i="1"/>
  <c r="I277" i="1" s="1"/>
  <c r="F276" i="1"/>
  <c r="G276" i="1"/>
  <c r="H276" i="1"/>
  <c r="I276" i="1" s="1"/>
  <c r="F275" i="1"/>
  <c r="G275" i="1"/>
  <c r="H275" i="1"/>
  <c r="I275" i="1" s="1"/>
  <c r="F273" i="1"/>
  <c r="G273" i="1"/>
  <c r="H273" i="1"/>
  <c r="I273" i="1" s="1"/>
  <c r="F274" i="1"/>
  <c r="G274" i="1"/>
  <c r="J274" i="1" s="1"/>
  <c r="H274" i="1"/>
  <c r="I274" i="1" s="1"/>
  <c r="F271" i="1"/>
  <c r="G271" i="1"/>
  <c r="H271" i="1"/>
  <c r="I271" i="1" s="1"/>
  <c r="F272" i="1"/>
  <c r="G272" i="1"/>
  <c r="J272" i="1" s="1"/>
  <c r="H272" i="1"/>
  <c r="I272" i="1" s="1"/>
  <c r="F270" i="1"/>
  <c r="G270" i="1"/>
  <c r="H270" i="1"/>
  <c r="I270" i="1" s="1"/>
  <c r="M52" i="1"/>
  <c r="M51" i="1"/>
  <c r="M50" i="1"/>
  <c r="M49" i="1"/>
  <c r="M48" i="1"/>
  <c r="M47" i="1"/>
  <c r="F269" i="1"/>
  <c r="G269" i="1"/>
  <c r="H269" i="1"/>
  <c r="I269" i="1" s="1"/>
  <c r="F268" i="1"/>
  <c r="G268" i="1"/>
  <c r="H268" i="1"/>
  <c r="I268" i="1" s="1"/>
  <c r="F267" i="1"/>
  <c r="G267" i="1"/>
  <c r="H267" i="1"/>
  <c r="I267" i="1" s="1"/>
  <c r="H262" i="1"/>
  <c r="I262" i="1" s="1"/>
  <c r="G262" i="1"/>
  <c r="F262" i="1"/>
  <c r="H261" i="1"/>
  <c r="I261" i="1" s="1"/>
  <c r="G261" i="1"/>
  <c r="F261" i="1"/>
  <c r="H260" i="1"/>
  <c r="I260" i="1" s="1"/>
  <c r="G260" i="1"/>
  <c r="F260" i="1"/>
  <c r="H259" i="1"/>
  <c r="I259" i="1" s="1"/>
  <c r="G259" i="1"/>
  <c r="F259" i="1"/>
  <c r="H258" i="1"/>
  <c r="I258" i="1" s="1"/>
  <c r="G258" i="1"/>
  <c r="F258" i="1"/>
  <c r="H257" i="1"/>
  <c r="I257" i="1" s="1"/>
  <c r="G257" i="1"/>
  <c r="F257" i="1"/>
  <c r="H256" i="1"/>
  <c r="I256" i="1" s="1"/>
  <c r="G256" i="1"/>
  <c r="F256" i="1"/>
  <c r="H255" i="1"/>
  <c r="I255" i="1" s="1"/>
  <c r="G255" i="1"/>
  <c r="F255" i="1"/>
  <c r="H254" i="1"/>
  <c r="I254" i="1" s="1"/>
  <c r="G254" i="1"/>
  <c r="F254" i="1"/>
  <c r="H253" i="1"/>
  <c r="I253" i="1" s="1"/>
  <c r="G253" i="1"/>
  <c r="F253" i="1"/>
  <c r="H252" i="1"/>
  <c r="I252" i="1" s="1"/>
  <c r="G252" i="1"/>
  <c r="F252" i="1"/>
  <c r="H251" i="1"/>
  <c r="I251" i="1" s="1"/>
  <c r="G251" i="1"/>
  <c r="F251" i="1"/>
  <c r="H250" i="1"/>
  <c r="I250" i="1" s="1"/>
  <c r="G250" i="1"/>
  <c r="F250" i="1"/>
  <c r="H249" i="1"/>
  <c r="I249" i="1" s="1"/>
  <c r="G249" i="1"/>
  <c r="F249" i="1"/>
  <c r="H248" i="1"/>
  <c r="I248" i="1" s="1"/>
  <c r="G248" i="1"/>
  <c r="F248" i="1"/>
  <c r="H247" i="1"/>
  <c r="I247" i="1" s="1"/>
  <c r="G247" i="1"/>
  <c r="F247" i="1"/>
  <c r="H246" i="1"/>
  <c r="I246" i="1" s="1"/>
  <c r="G246" i="1"/>
  <c r="F246" i="1"/>
  <c r="H245" i="1"/>
  <c r="I245" i="1" s="1"/>
  <c r="G245" i="1"/>
  <c r="F245" i="1"/>
  <c r="H244" i="1"/>
  <c r="I244" i="1" s="1"/>
  <c r="G244" i="1"/>
  <c r="F244" i="1"/>
  <c r="H243" i="1"/>
  <c r="I243" i="1" s="1"/>
  <c r="G243" i="1"/>
  <c r="F243" i="1"/>
  <c r="H242" i="1"/>
  <c r="I242" i="1" s="1"/>
  <c r="G242" i="1"/>
  <c r="F242" i="1"/>
  <c r="H241" i="1"/>
  <c r="I241" i="1" s="1"/>
  <c r="G241" i="1"/>
  <c r="F241" i="1"/>
  <c r="H240" i="1"/>
  <c r="I240" i="1" s="1"/>
  <c r="G240" i="1"/>
  <c r="F240" i="1"/>
  <c r="H239" i="1"/>
  <c r="I239" i="1" s="1"/>
  <c r="G239" i="1"/>
  <c r="F239" i="1"/>
  <c r="H238" i="1"/>
  <c r="I238" i="1" s="1"/>
  <c r="G238" i="1"/>
  <c r="F238" i="1"/>
  <c r="H237" i="1"/>
  <c r="I237" i="1" s="1"/>
  <c r="G237" i="1"/>
  <c r="F237" i="1"/>
  <c r="H236" i="1"/>
  <c r="I236" i="1" s="1"/>
  <c r="G236" i="1"/>
  <c r="F236" i="1"/>
  <c r="H235" i="1"/>
  <c r="I235" i="1" s="1"/>
  <c r="G235" i="1"/>
  <c r="F235" i="1"/>
  <c r="H234" i="1"/>
  <c r="I234" i="1" s="1"/>
  <c r="G234" i="1"/>
  <c r="F234" i="1"/>
  <c r="H233" i="1"/>
  <c r="I233" i="1" s="1"/>
  <c r="G233" i="1"/>
  <c r="F233" i="1"/>
  <c r="H232" i="1"/>
  <c r="I232" i="1" s="1"/>
  <c r="G232" i="1"/>
  <c r="F232" i="1"/>
  <c r="H231" i="1"/>
  <c r="I231" i="1" s="1"/>
  <c r="G231" i="1"/>
  <c r="F231" i="1"/>
  <c r="H230" i="1"/>
  <c r="I230" i="1" s="1"/>
  <c r="G230" i="1"/>
  <c r="F230" i="1"/>
  <c r="H229" i="1"/>
  <c r="I229" i="1" s="1"/>
  <c r="G229" i="1"/>
  <c r="F229" i="1"/>
  <c r="H228" i="1"/>
  <c r="I228" i="1" s="1"/>
  <c r="G228" i="1"/>
  <c r="F228" i="1"/>
  <c r="H227" i="1"/>
  <c r="I227" i="1" s="1"/>
  <c r="G227" i="1"/>
  <c r="F227" i="1"/>
  <c r="H226" i="1"/>
  <c r="I226" i="1" s="1"/>
  <c r="G226" i="1"/>
  <c r="F226" i="1"/>
  <c r="H225" i="1"/>
  <c r="I225" i="1" s="1"/>
  <c r="G225" i="1"/>
  <c r="F225" i="1"/>
  <c r="H224" i="1"/>
  <c r="I224" i="1" s="1"/>
  <c r="G224" i="1"/>
  <c r="F224" i="1"/>
  <c r="H223" i="1"/>
  <c r="I223" i="1" s="1"/>
  <c r="G223" i="1"/>
  <c r="F223" i="1"/>
  <c r="H222" i="1"/>
  <c r="I222" i="1" s="1"/>
  <c r="G222" i="1"/>
  <c r="F222" i="1"/>
  <c r="H221" i="1"/>
  <c r="I221" i="1" s="1"/>
  <c r="G221" i="1"/>
  <c r="F221" i="1"/>
  <c r="H220" i="1"/>
  <c r="I220" i="1" s="1"/>
  <c r="G220" i="1"/>
  <c r="F220" i="1"/>
  <c r="H219" i="1"/>
  <c r="I219" i="1" s="1"/>
  <c r="G219" i="1"/>
  <c r="F219" i="1"/>
  <c r="H218" i="1"/>
  <c r="I218" i="1" s="1"/>
  <c r="G218" i="1"/>
  <c r="F218" i="1"/>
  <c r="H217" i="1"/>
  <c r="I217" i="1" s="1"/>
  <c r="G217" i="1"/>
  <c r="F217" i="1"/>
  <c r="H216" i="1"/>
  <c r="I216" i="1" s="1"/>
  <c r="G216" i="1"/>
  <c r="F216" i="1"/>
  <c r="H215" i="1"/>
  <c r="I215" i="1" s="1"/>
  <c r="G215" i="1"/>
  <c r="F215" i="1"/>
  <c r="H214" i="1"/>
  <c r="I214" i="1" s="1"/>
  <c r="G214" i="1"/>
  <c r="F214" i="1"/>
  <c r="H213" i="1"/>
  <c r="I213" i="1" s="1"/>
  <c r="G213" i="1"/>
  <c r="F213" i="1"/>
  <c r="H212" i="1"/>
  <c r="I212" i="1" s="1"/>
  <c r="G212" i="1"/>
  <c r="F212" i="1"/>
  <c r="H211" i="1"/>
  <c r="I211" i="1" s="1"/>
  <c r="G211" i="1"/>
  <c r="F211" i="1"/>
  <c r="H210" i="1"/>
  <c r="I210" i="1" s="1"/>
  <c r="G210" i="1"/>
  <c r="F210" i="1"/>
  <c r="H209" i="1"/>
  <c r="I209" i="1" s="1"/>
  <c r="G209" i="1"/>
  <c r="F209" i="1"/>
  <c r="H208" i="1"/>
  <c r="I208" i="1" s="1"/>
  <c r="G208" i="1"/>
  <c r="F208" i="1"/>
  <c r="H207" i="1"/>
  <c r="I207" i="1" s="1"/>
  <c r="G207" i="1"/>
  <c r="F207" i="1"/>
  <c r="H206" i="1"/>
  <c r="I206" i="1" s="1"/>
  <c r="G206" i="1"/>
  <c r="F206" i="1"/>
  <c r="H205" i="1"/>
  <c r="I205" i="1" s="1"/>
  <c r="G205" i="1"/>
  <c r="F205" i="1"/>
  <c r="H204" i="1"/>
  <c r="I204" i="1" s="1"/>
  <c r="G204" i="1"/>
  <c r="F204" i="1"/>
  <c r="H203" i="1"/>
  <c r="I203" i="1" s="1"/>
  <c r="G203" i="1"/>
  <c r="F203" i="1"/>
  <c r="H202" i="1"/>
  <c r="I202" i="1" s="1"/>
  <c r="G202" i="1"/>
  <c r="F202" i="1"/>
  <c r="H201" i="1"/>
  <c r="I201" i="1" s="1"/>
  <c r="G201" i="1"/>
  <c r="F201" i="1"/>
  <c r="H200" i="1"/>
  <c r="I200" i="1" s="1"/>
  <c r="G200" i="1"/>
  <c r="F200" i="1"/>
  <c r="H199" i="1"/>
  <c r="I199" i="1" s="1"/>
  <c r="G199" i="1"/>
  <c r="F199" i="1"/>
  <c r="H198" i="1"/>
  <c r="I198" i="1" s="1"/>
  <c r="G198" i="1"/>
  <c r="F198" i="1"/>
  <c r="H197" i="1"/>
  <c r="I197" i="1" s="1"/>
  <c r="G197" i="1"/>
  <c r="F197" i="1"/>
  <c r="H196" i="1"/>
  <c r="I196" i="1" s="1"/>
  <c r="G196" i="1"/>
  <c r="F196" i="1"/>
  <c r="H195" i="1"/>
  <c r="I195" i="1" s="1"/>
  <c r="G195" i="1"/>
  <c r="F195" i="1"/>
  <c r="H194" i="1"/>
  <c r="I194" i="1" s="1"/>
  <c r="G194" i="1"/>
  <c r="F194" i="1"/>
  <c r="H193" i="1"/>
  <c r="I193" i="1" s="1"/>
  <c r="G193" i="1"/>
  <c r="F193" i="1"/>
  <c r="H192" i="1"/>
  <c r="I192" i="1" s="1"/>
  <c r="G192" i="1"/>
  <c r="F192" i="1"/>
  <c r="H191" i="1"/>
  <c r="I191" i="1" s="1"/>
  <c r="G191" i="1"/>
  <c r="F191" i="1"/>
  <c r="H190" i="1"/>
  <c r="I190" i="1" s="1"/>
  <c r="G190" i="1"/>
  <c r="F190" i="1"/>
  <c r="H189" i="1"/>
  <c r="I189" i="1" s="1"/>
  <c r="G189" i="1"/>
  <c r="F189" i="1"/>
  <c r="H188" i="1"/>
  <c r="I188" i="1" s="1"/>
  <c r="G188" i="1"/>
  <c r="F188" i="1"/>
  <c r="H187" i="1"/>
  <c r="I187" i="1" s="1"/>
  <c r="G187" i="1"/>
  <c r="F187" i="1"/>
  <c r="H186" i="1"/>
  <c r="I186" i="1" s="1"/>
  <c r="G186" i="1"/>
  <c r="F186" i="1"/>
  <c r="H185" i="1"/>
  <c r="I185" i="1" s="1"/>
  <c r="G185" i="1"/>
  <c r="F185" i="1"/>
  <c r="H184" i="1"/>
  <c r="I184" i="1" s="1"/>
  <c r="G184" i="1"/>
  <c r="F184" i="1"/>
  <c r="H183" i="1"/>
  <c r="I183" i="1" s="1"/>
  <c r="G183" i="1"/>
  <c r="F183" i="1"/>
  <c r="H182" i="1"/>
  <c r="I182" i="1" s="1"/>
  <c r="G182" i="1"/>
  <c r="F182" i="1"/>
  <c r="H181" i="1"/>
  <c r="I181" i="1" s="1"/>
  <c r="G181" i="1"/>
  <c r="F181" i="1"/>
  <c r="H180" i="1"/>
  <c r="I180" i="1" s="1"/>
  <c r="G180" i="1"/>
  <c r="F180" i="1"/>
  <c r="H179" i="1"/>
  <c r="I179" i="1" s="1"/>
  <c r="G179" i="1"/>
  <c r="F179" i="1"/>
  <c r="T24" i="1"/>
  <c r="U24" i="1" s="1"/>
  <c r="T21" i="1"/>
  <c r="U21" i="1" s="1"/>
  <c r="T22" i="1"/>
  <c r="U22" i="1" s="1"/>
  <c r="M16" i="1"/>
  <c r="S5" i="1"/>
  <c r="S6" i="1"/>
  <c r="S7" i="1"/>
  <c r="S8" i="1"/>
  <c r="S9" i="1"/>
  <c r="S10" i="1"/>
  <c r="S4" i="1"/>
  <c r="R5" i="1"/>
  <c r="R6" i="1"/>
  <c r="R7" i="1"/>
  <c r="R8" i="1"/>
  <c r="R9" i="1"/>
  <c r="R10" i="1"/>
  <c r="R4" i="1"/>
  <c r="M10" i="1"/>
  <c r="M9" i="1"/>
  <c r="M8" i="1"/>
  <c r="M7" i="1"/>
  <c r="M6" i="1"/>
  <c r="M5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2" i="1"/>
  <c r="D177" i="9" l="1"/>
  <c r="D179" i="9" s="1"/>
  <c r="E4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M108" i="7"/>
  <c r="M109" i="7" s="1"/>
  <c r="M65" i="7"/>
  <c r="M66" i="7" s="1"/>
  <c r="M42" i="7"/>
  <c r="M43" i="7" s="1"/>
  <c r="M88" i="7"/>
  <c r="R97" i="7"/>
  <c r="S97" i="7" s="1"/>
  <c r="R98" i="7"/>
  <c r="S98" i="7" s="1"/>
  <c r="T98" i="7" s="1"/>
  <c r="U98" i="7" s="1"/>
  <c r="V98" i="7" s="1"/>
  <c r="R99" i="7"/>
  <c r="S99" i="7" s="1"/>
  <c r="R100" i="7"/>
  <c r="S100" i="7" s="1"/>
  <c r="T100" i="7" s="1"/>
  <c r="U100" i="7" s="1"/>
  <c r="V100" i="7" s="1"/>
  <c r="R101" i="7"/>
  <c r="S101" i="7" s="1"/>
  <c r="T101" i="7" s="1"/>
  <c r="U101" i="7" s="1"/>
  <c r="V101" i="7" s="1"/>
  <c r="R102" i="7"/>
  <c r="S102" i="7" s="1"/>
  <c r="T102" i="7" s="1"/>
  <c r="U102" i="7" s="1"/>
  <c r="V102" i="7" s="1"/>
  <c r="R103" i="7"/>
  <c r="S103" i="7" s="1"/>
  <c r="T103" i="7" s="1"/>
  <c r="U103" i="7" s="1"/>
  <c r="V103" i="7" s="1"/>
  <c r="R104" i="7"/>
  <c r="S104" i="7" s="1"/>
  <c r="T104" i="7" s="1"/>
  <c r="U104" i="7" s="1"/>
  <c r="V104" i="7" s="1"/>
  <c r="R105" i="7"/>
  <c r="S105" i="7" s="1"/>
  <c r="T105" i="7" s="1"/>
  <c r="U105" i="7" s="1"/>
  <c r="V105" i="7" s="1"/>
  <c r="R75" i="7"/>
  <c r="S75" i="7" s="1"/>
  <c r="R76" i="7"/>
  <c r="S76" i="7" s="1"/>
  <c r="T76" i="7" s="1"/>
  <c r="U76" i="7" s="1"/>
  <c r="V76" i="7" s="1"/>
  <c r="R77" i="7"/>
  <c r="S77" i="7" s="1"/>
  <c r="T77" i="7" s="1"/>
  <c r="U77" i="7" s="1"/>
  <c r="V77" i="7" s="1"/>
  <c r="R78" i="7"/>
  <c r="S78" i="7" s="1"/>
  <c r="T78" i="7" s="1"/>
  <c r="U78" i="7" s="1"/>
  <c r="V78" i="7" s="1"/>
  <c r="R79" i="7"/>
  <c r="S79" i="7" s="1"/>
  <c r="T79" i="7" s="1"/>
  <c r="U79" i="7" s="1"/>
  <c r="V79" i="7" s="1"/>
  <c r="R80" i="7"/>
  <c r="S80" i="7" s="1"/>
  <c r="T80" i="7" s="1"/>
  <c r="U80" i="7" s="1"/>
  <c r="V80" i="7" s="1"/>
  <c r="R81" i="7"/>
  <c r="S81" i="7" s="1"/>
  <c r="T81" i="7" s="1"/>
  <c r="U81" i="7" s="1"/>
  <c r="V81" i="7" s="1"/>
  <c r="R82" i="7"/>
  <c r="S82" i="7" s="1"/>
  <c r="T82" i="7" s="1"/>
  <c r="U82" i="7" s="1"/>
  <c r="V82" i="7" s="1"/>
  <c r="R52" i="7"/>
  <c r="S52" i="7" s="1"/>
  <c r="R53" i="7"/>
  <c r="S53" i="7" s="1"/>
  <c r="R54" i="7"/>
  <c r="S54" i="7" s="1"/>
  <c r="R55" i="7"/>
  <c r="S55" i="7" s="1"/>
  <c r="R56" i="7"/>
  <c r="S56" i="7" s="1"/>
  <c r="R57" i="7"/>
  <c r="S57" i="7" s="1"/>
  <c r="R58" i="7"/>
  <c r="S58" i="7" s="1"/>
  <c r="R59" i="7"/>
  <c r="S59" i="7" s="1"/>
  <c r="R60" i="7"/>
  <c r="S60" i="7" s="1"/>
  <c r="R31" i="7"/>
  <c r="R32" i="7"/>
  <c r="S32" i="7" s="1"/>
  <c r="T32" i="7" s="1"/>
  <c r="U32" i="7" s="1"/>
  <c r="V32" i="7" s="1"/>
  <c r="R33" i="7"/>
  <c r="S33" i="7" s="1"/>
  <c r="T33" i="7" s="1"/>
  <c r="U33" i="7" s="1"/>
  <c r="V33" i="7" s="1"/>
  <c r="R34" i="7"/>
  <c r="S34" i="7" s="1"/>
  <c r="T34" i="7" s="1"/>
  <c r="U34" i="7" s="1"/>
  <c r="V34" i="7" s="1"/>
  <c r="R35" i="7"/>
  <c r="S35" i="7" s="1"/>
  <c r="T35" i="7" s="1"/>
  <c r="U35" i="7" s="1"/>
  <c r="V35" i="7" s="1"/>
  <c r="R36" i="7"/>
  <c r="S36" i="7" s="1"/>
  <c r="T36" i="7" s="1"/>
  <c r="U36" i="7" s="1"/>
  <c r="V36" i="7" s="1"/>
  <c r="R5" i="7"/>
  <c r="S5" i="7" s="1"/>
  <c r="R6" i="7"/>
  <c r="S6" i="7" s="1"/>
  <c r="R7" i="7"/>
  <c r="S7" i="7" s="1"/>
  <c r="R8" i="7"/>
  <c r="S8" i="7" s="1"/>
  <c r="R9" i="7"/>
  <c r="S9" i="7" s="1"/>
  <c r="R10" i="7"/>
  <c r="S10" i="7" s="1"/>
  <c r="R11" i="7"/>
  <c r="S11" i="7" s="1"/>
  <c r="R12" i="7"/>
  <c r="S12" i="7" s="1"/>
  <c r="R13" i="7"/>
  <c r="S13" i="7" s="1"/>
  <c r="R14" i="7"/>
  <c r="S14" i="7" s="1"/>
  <c r="J4" i="7"/>
  <c r="J5" i="7"/>
  <c r="J6" i="7"/>
  <c r="J7" i="7"/>
  <c r="J8" i="7"/>
  <c r="J9" i="7"/>
  <c r="J10" i="7"/>
  <c r="I177" i="1"/>
  <c r="M79" i="1"/>
  <c r="M80" i="1" s="1"/>
  <c r="O77" i="1"/>
  <c r="I263" i="1"/>
  <c r="G263" i="1" s="1"/>
  <c r="M119" i="1"/>
  <c r="M120" i="1" s="1"/>
  <c r="I311" i="1"/>
  <c r="G311" i="1" s="1"/>
  <c r="T147" i="1"/>
  <c r="U147" i="1" s="1"/>
  <c r="J3" i="1"/>
  <c r="N137" i="1" s="1"/>
  <c r="P34" i="1"/>
  <c r="P35" i="1" s="1"/>
  <c r="E176" i="1"/>
  <c r="E177" i="1" s="1"/>
  <c r="J299" i="1"/>
  <c r="J300" i="1"/>
  <c r="J301" i="1"/>
  <c r="J303" i="1"/>
  <c r="J304" i="1"/>
  <c r="J305" i="1"/>
  <c r="J306" i="1"/>
  <c r="J307" i="1"/>
  <c r="J308" i="1"/>
  <c r="J309" i="1"/>
  <c r="J310" i="1"/>
  <c r="I176" i="1"/>
  <c r="J298" i="1"/>
  <c r="T135" i="1"/>
  <c r="U135" i="1" s="1"/>
  <c r="T133" i="1"/>
  <c r="U133" i="1" s="1"/>
  <c r="T132" i="1"/>
  <c r="U132" i="1" s="1"/>
  <c r="T131" i="1"/>
  <c r="U131" i="1" s="1"/>
  <c r="T130" i="1"/>
  <c r="U130" i="1" s="1"/>
  <c r="T129" i="1"/>
  <c r="U129" i="1" s="1"/>
  <c r="U128" i="1"/>
  <c r="V128" i="1" s="1"/>
  <c r="T127" i="1"/>
  <c r="U127" i="1" s="1"/>
  <c r="T134" i="1"/>
  <c r="U134" i="1" s="1"/>
  <c r="T126" i="1"/>
  <c r="U126" i="1" s="1"/>
  <c r="N67" i="1" a="1"/>
  <c r="N67" i="1"/>
  <c r="N107" i="1" a="1"/>
  <c r="J268" i="1"/>
  <c r="J269" i="1"/>
  <c r="J270" i="1"/>
  <c r="J271" i="1"/>
  <c r="J273" i="1"/>
  <c r="J275" i="1"/>
  <c r="J276" i="1"/>
  <c r="J277" i="1"/>
  <c r="J278" i="1"/>
  <c r="J280" i="1"/>
  <c r="J281" i="1"/>
  <c r="J282" i="1"/>
  <c r="J286" i="1"/>
  <c r="J289" i="1"/>
  <c r="J290" i="1"/>
  <c r="J291" i="1"/>
  <c r="J292" i="1"/>
  <c r="J293" i="1"/>
  <c r="J294" i="1"/>
  <c r="J296" i="1"/>
  <c r="T75" i="1"/>
  <c r="U75" i="1" s="1"/>
  <c r="V75" i="1" s="1"/>
  <c r="W75" i="1" s="1"/>
  <c r="X75" i="1" s="1"/>
  <c r="T74" i="1"/>
  <c r="U74" i="1" s="1"/>
  <c r="V74" i="1" s="1"/>
  <c r="W74" i="1" s="1"/>
  <c r="X74" i="1" s="1"/>
  <c r="T73" i="1"/>
  <c r="U73" i="1" s="1"/>
  <c r="V73" i="1" s="1"/>
  <c r="W73" i="1" s="1"/>
  <c r="X73" i="1" s="1"/>
  <c r="T72" i="1"/>
  <c r="U72" i="1" s="1"/>
  <c r="V72" i="1" s="1"/>
  <c r="W72" i="1" s="1"/>
  <c r="X72" i="1" s="1"/>
  <c r="T71" i="1"/>
  <c r="U71" i="1" s="1"/>
  <c r="V71" i="1" s="1"/>
  <c r="W71" i="1" s="1"/>
  <c r="X71" i="1" s="1"/>
  <c r="T70" i="1"/>
  <c r="U70" i="1" s="1"/>
  <c r="V70" i="1" s="1"/>
  <c r="W70" i="1" s="1"/>
  <c r="X70" i="1" s="1"/>
  <c r="T69" i="1"/>
  <c r="U69" i="1" s="1"/>
  <c r="V69" i="1" s="1"/>
  <c r="W69" i="1" s="1"/>
  <c r="X69" i="1" s="1"/>
  <c r="T68" i="1"/>
  <c r="U68" i="1" s="1"/>
  <c r="V68" i="1" s="1"/>
  <c r="W68" i="1" s="1"/>
  <c r="X68" i="1" s="1"/>
  <c r="T88" i="1"/>
  <c r="U88" i="1" s="1"/>
  <c r="T107" i="1"/>
  <c r="U107" i="1" s="1"/>
  <c r="T114" i="1"/>
  <c r="U114" i="1" s="1"/>
  <c r="T113" i="1"/>
  <c r="U113" i="1" s="1"/>
  <c r="T112" i="1"/>
  <c r="U112" i="1" s="1"/>
  <c r="T111" i="1"/>
  <c r="U111" i="1" s="1"/>
  <c r="T110" i="1"/>
  <c r="U110" i="1" s="1"/>
  <c r="T109" i="1"/>
  <c r="U109" i="1" s="1"/>
  <c r="T108" i="1"/>
  <c r="U108" i="1" s="1"/>
  <c r="N86" i="1" a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T57" i="1"/>
  <c r="U57" i="1" s="1"/>
  <c r="T56" i="1"/>
  <c r="U56" i="1" s="1"/>
  <c r="T55" i="1"/>
  <c r="U55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U49" i="1" s="1"/>
  <c r="T48" i="1"/>
  <c r="U48" i="1" s="1"/>
  <c r="T47" i="1"/>
  <c r="U47" i="1" s="1"/>
  <c r="T67" i="1"/>
  <c r="U67" i="1" s="1"/>
  <c r="T46" i="1"/>
  <c r="U46" i="1" s="1"/>
  <c r="C176" i="1"/>
  <c r="B177" i="1" s="1"/>
  <c r="B321" i="1" s="1"/>
  <c r="T4" i="1"/>
  <c r="U4" i="1" s="1"/>
  <c r="T10" i="1"/>
  <c r="U10" i="1" s="1"/>
  <c r="T9" i="1"/>
  <c r="U9" i="1" s="1"/>
  <c r="T8" i="1"/>
  <c r="U8" i="1" s="1"/>
  <c r="T7" i="1"/>
  <c r="U7" i="1" s="1"/>
  <c r="T6" i="1"/>
  <c r="U6" i="1" s="1"/>
  <c r="T5" i="1"/>
  <c r="U5" i="1" s="1"/>
  <c r="T26" i="1"/>
  <c r="U26" i="1" s="1"/>
  <c r="T23" i="1"/>
  <c r="U23" i="1" s="1"/>
  <c r="T25" i="1"/>
  <c r="U25" i="1" s="1"/>
  <c r="E11" i="9" l="1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6" i="9"/>
  <c r="E9" i="9"/>
  <c r="E5" i="9"/>
  <c r="T99" i="7"/>
  <c r="U99" i="7" s="1"/>
  <c r="V99" i="7" s="1"/>
  <c r="M19" i="7"/>
  <c r="T60" i="7"/>
  <c r="U60" i="7" s="1"/>
  <c r="V60" i="7" s="1"/>
  <c r="T59" i="7"/>
  <c r="U59" i="7" s="1"/>
  <c r="V59" i="7" s="1"/>
  <c r="T58" i="7"/>
  <c r="U58" i="7" s="1"/>
  <c r="V58" i="7" s="1"/>
  <c r="T57" i="7"/>
  <c r="U57" i="7" s="1"/>
  <c r="V57" i="7" s="1"/>
  <c r="T56" i="7"/>
  <c r="U56" i="7" s="1"/>
  <c r="V56" i="7" s="1"/>
  <c r="T55" i="7"/>
  <c r="U55" i="7" s="1"/>
  <c r="V55" i="7" s="1"/>
  <c r="T54" i="7"/>
  <c r="U54" i="7" s="1"/>
  <c r="V54" i="7" s="1"/>
  <c r="T53" i="7"/>
  <c r="U53" i="7" s="1"/>
  <c r="V53" i="7" s="1"/>
  <c r="T97" i="7"/>
  <c r="U97" i="7" s="1"/>
  <c r="V97" i="7" s="1"/>
  <c r="V106" i="7" s="1"/>
  <c r="T75" i="7"/>
  <c r="U75" i="7" s="1"/>
  <c r="M62" i="7"/>
  <c r="T52" i="7"/>
  <c r="U52" i="7" s="1"/>
  <c r="V52" i="7" s="1"/>
  <c r="V62" i="7" s="1"/>
  <c r="M39" i="7"/>
  <c r="T31" i="7"/>
  <c r="U31" i="7" s="1"/>
  <c r="V31" i="7" s="1"/>
  <c r="V39" i="7" s="1"/>
  <c r="M20" i="7"/>
  <c r="T5" i="7"/>
  <c r="U5" i="7" s="1"/>
  <c r="T14" i="7"/>
  <c r="U14" i="7" s="1"/>
  <c r="V14" i="7" s="1"/>
  <c r="T13" i="7"/>
  <c r="U13" i="7" s="1"/>
  <c r="V13" i="7" s="1"/>
  <c r="T12" i="7"/>
  <c r="U12" i="7" s="1"/>
  <c r="V12" i="7" s="1"/>
  <c r="T11" i="7"/>
  <c r="U11" i="7" s="1"/>
  <c r="V11" i="7" s="1"/>
  <c r="T10" i="7"/>
  <c r="U10" i="7" s="1"/>
  <c r="V10" i="7" s="1"/>
  <c r="T9" i="7"/>
  <c r="U9" i="7" s="1"/>
  <c r="V9" i="7" s="1"/>
  <c r="T8" i="7"/>
  <c r="U8" i="7" s="1"/>
  <c r="V8" i="7" s="1"/>
  <c r="T7" i="7"/>
  <c r="U7" i="7" s="1"/>
  <c r="V7" i="7" s="1"/>
  <c r="T6" i="7"/>
  <c r="U6" i="7" s="1"/>
  <c r="V6" i="7" s="1"/>
  <c r="J312" i="1"/>
  <c r="J313" i="1" s="1"/>
  <c r="J264" i="1"/>
  <c r="J265" i="1" s="1"/>
  <c r="B322" i="1" s="1"/>
  <c r="N46" i="1" a="1"/>
  <c r="N46" i="1" s="1"/>
  <c r="O46" i="1" s="1"/>
  <c r="J176" i="1"/>
  <c r="L176" i="1" s="1"/>
  <c r="V147" i="1"/>
  <c r="W147" i="1" s="1"/>
  <c r="O156" i="1"/>
  <c r="N4" i="1" a="1"/>
  <c r="O139" i="1"/>
  <c r="V108" i="1"/>
  <c r="W108" i="1" s="1"/>
  <c r="X108" i="1" s="1"/>
  <c r="V109" i="1"/>
  <c r="W109" i="1" s="1"/>
  <c r="X109" i="1" s="1"/>
  <c r="V110" i="1"/>
  <c r="W110" i="1" s="1"/>
  <c r="X110" i="1" s="1"/>
  <c r="V111" i="1"/>
  <c r="W111" i="1" s="1"/>
  <c r="X111" i="1" s="1"/>
  <c r="V112" i="1"/>
  <c r="W112" i="1" s="1"/>
  <c r="X112" i="1" s="1"/>
  <c r="V113" i="1"/>
  <c r="W113" i="1" s="1"/>
  <c r="X113" i="1" s="1"/>
  <c r="V114" i="1"/>
  <c r="W114" i="1" s="1"/>
  <c r="X114" i="1" s="1"/>
  <c r="N107" i="1"/>
  <c r="V67" i="1"/>
  <c r="N77" i="1"/>
  <c r="V87" i="1"/>
  <c r="W87" i="1" s="1"/>
  <c r="X87" i="1" s="1"/>
  <c r="N86" i="1"/>
  <c r="N95" i="1" s="1"/>
  <c r="O87" i="1"/>
  <c r="O88" i="1"/>
  <c r="O89" i="1"/>
  <c r="O90" i="1"/>
  <c r="O91" i="1"/>
  <c r="O92" i="1"/>
  <c r="V88" i="1"/>
  <c r="W88" i="1" s="1"/>
  <c r="X88" i="1" s="1"/>
  <c r="V89" i="1"/>
  <c r="W89" i="1" s="1"/>
  <c r="X89" i="1" s="1"/>
  <c r="V90" i="1"/>
  <c r="W90" i="1" s="1"/>
  <c r="X90" i="1" s="1"/>
  <c r="V91" i="1"/>
  <c r="W91" i="1" s="1"/>
  <c r="X91" i="1" s="1"/>
  <c r="V92" i="1"/>
  <c r="W92" i="1" s="1"/>
  <c r="X92" i="1" s="1"/>
  <c r="W67" i="1"/>
  <c r="X67" i="1" s="1"/>
  <c r="X77" i="1" s="1"/>
  <c r="V5" i="1"/>
  <c r="W5" i="1" s="1"/>
  <c r="X5" i="1" s="1"/>
  <c r="V6" i="1"/>
  <c r="W6" i="1" s="1"/>
  <c r="X6" i="1" s="1"/>
  <c r="V7" i="1"/>
  <c r="W7" i="1" s="1"/>
  <c r="X7" i="1" s="1"/>
  <c r="V8" i="1"/>
  <c r="W8" i="1" s="1"/>
  <c r="X8" i="1" s="1"/>
  <c r="V9" i="1"/>
  <c r="W9" i="1" s="1"/>
  <c r="X9" i="1" s="1"/>
  <c r="V10" i="1"/>
  <c r="W10" i="1" s="1"/>
  <c r="X10" i="1" s="1"/>
  <c r="N4" i="1"/>
  <c r="V22" i="1"/>
  <c r="W22" i="1" s="1"/>
  <c r="X22" i="1" s="1"/>
  <c r="V23" i="1"/>
  <c r="W23" i="1" s="1"/>
  <c r="X23" i="1" s="1"/>
  <c r="V24" i="1"/>
  <c r="W24" i="1" s="1"/>
  <c r="X24" i="1" s="1"/>
  <c r="V25" i="1"/>
  <c r="W25" i="1" s="1"/>
  <c r="X25" i="1" s="1"/>
  <c r="V26" i="1"/>
  <c r="W26" i="1" s="1"/>
  <c r="X26" i="1" s="1"/>
  <c r="V21" i="1"/>
  <c r="W21" i="1" s="1"/>
  <c r="X21" i="1" s="1"/>
  <c r="X29" i="1" s="1"/>
  <c r="V75" i="7" l="1"/>
  <c r="V85" i="7" s="1"/>
  <c r="V17" i="7"/>
  <c r="C324" i="1"/>
  <c r="B323" i="1"/>
  <c r="B328" i="1" s="1"/>
  <c r="X147" i="1"/>
  <c r="X156" i="1" s="1"/>
  <c r="V127" i="1"/>
  <c r="W127" i="1" s="1"/>
  <c r="X127" i="1" s="1"/>
  <c r="W128" i="1"/>
  <c r="X128" i="1" s="1"/>
  <c r="V129" i="1"/>
  <c r="W129" i="1" s="1"/>
  <c r="X129" i="1" s="1"/>
  <c r="V130" i="1"/>
  <c r="W130" i="1" s="1"/>
  <c r="X130" i="1" s="1"/>
  <c r="V131" i="1"/>
  <c r="W131" i="1" s="1"/>
  <c r="X131" i="1" s="1"/>
  <c r="V132" i="1"/>
  <c r="W132" i="1" s="1"/>
  <c r="X132" i="1" s="1"/>
  <c r="V133" i="1"/>
  <c r="W133" i="1" s="1"/>
  <c r="X133" i="1" s="1"/>
  <c r="V135" i="1"/>
  <c r="W135" i="1" s="1"/>
  <c r="X135" i="1" s="1"/>
  <c r="V134" i="1"/>
  <c r="W134" i="1" s="1"/>
  <c r="X134" i="1" s="1"/>
  <c r="N176" i="1"/>
  <c r="L177" i="1"/>
  <c r="O5" i="1"/>
  <c r="O6" i="1"/>
  <c r="O7" i="1"/>
  <c r="O8" i="1"/>
  <c r="O9" i="1"/>
  <c r="O10" i="1"/>
  <c r="O86" i="1"/>
  <c r="O95" i="1" s="1"/>
  <c r="V86" i="1"/>
  <c r="W86" i="1" s="1"/>
  <c r="X86" i="1" s="1"/>
  <c r="X95" i="1" s="1"/>
  <c r="V107" i="1"/>
  <c r="W107" i="1" s="1"/>
  <c r="X107" i="1" s="1"/>
  <c r="X117" i="1" s="1"/>
  <c r="V47" i="1"/>
  <c r="W47" i="1" s="1"/>
  <c r="X47" i="1" s="1"/>
  <c r="V48" i="1"/>
  <c r="W48" i="1" s="1"/>
  <c r="X48" i="1" s="1"/>
  <c r="V49" i="1"/>
  <c r="W49" i="1" s="1"/>
  <c r="X49" i="1" s="1"/>
  <c r="V50" i="1"/>
  <c r="W50" i="1" s="1"/>
  <c r="X50" i="1" s="1"/>
  <c r="V51" i="1"/>
  <c r="W51" i="1" s="1"/>
  <c r="X51" i="1" s="1"/>
  <c r="V52" i="1"/>
  <c r="W52" i="1" s="1"/>
  <c r="X52" i="1" s="1"/>
  <c r="V53" i="1"/>
  <c r="W53" i="1" s="1"/>
  <c r="X53" i="1" s="1"/>
  <c r="V54" i="1"/>
  <c r="W54" i="1" s="1"/>
  <c r="X54" i="1" s="1"/>
  <c r="V55" i="1"/>
  <c r="W55" i="1" s="1"/>
  <c r="X55" i="1" s="1"/>
  <c r="V56" i="1"/>
  <c r="W56" i="1" s="1"/>
  <c r="X56" i="1" s="1"/>
  <c r="V57" i="1"/>
  <c r="W57" i="1" s="1"/>
  <c r="X57" i="1" s="1"/>
  <c r="O47" i="1"/>
  <c r="O48" i="1"/>
  <c r="O49" i="1"/>
  <c r="O50" i="1"/>
  <c r="O51" i="1"/>
  <c r="O52" i="1"/>
  <c r="O57" i="1"/>
  <c r="O56" i="1"/>
  <c r="O55" i="1"/>
  <c r="O54" i="1"/>
  <c r="O53" i="1"/>
  <c r="N29" i="1"/>
  <c r="V4" i="1"/>
  <c r="W4" i="1" s="1"/>
  <c r="X4" i="1" s="1"/>
  <c r="X12" i="1" s="1"/>
  <c r="N12" i="1"/>
  <c r="O4" i="1"/>
  <c r="O12" i="1" s="1"/>
  <c r="M14" i="1" s="1"/>
  <c r="M15" i="1" s="1"/>
  <c r="N139" i="1" l="1"/>
  <c r="V126" i="1"/>
  <c r="W126" i="1" s="1"/>
  <c r="X126" i="1" s="1"/>
  <c r="X138" i="1" s="1"/>
  <c r="M97" i="1"/>
  <c r="N59" i="1"/>
  <c r="V46" i="1"/>
  <c r="W46" i="1" s="1"/>
  <c r="X46" i="1" s="1"/>
  <c r="X59" i="1" s="1"/>
  <c r="O59" i="1"/>
  <c r="N60" i="1" l="1"/>
  <c r="M98" i="1"/>
  <c r="O60" i="1" l="1"/>
  <c r="N61" i="1"/>
  <c r="X1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<sst xmlns="http://schemas.openxmlformats.org/spreadsheetml/2006/main" count="1720" uniqueCount="168">
  <si>
    <t>SERVICE IN MIN</t>
  </si>
  <si>
    <t>SORTED DATA</t>
  </si>
  <si>
    <t>Arrival Time</t>
  </si>
  <si>
    <t xml:space="preserve">Service Start Time </t>
  </si>
  <si>
    <t xml:space="preserve">Service End Time </t>
  </si>
  <si>
    <t>Counter/Shift Case</t>
  </si>
  <si>
    <t>Shift</t>
  </si>
  <si>
    <t>Service(min)</t>
  </si>
  <si>
    <t>Arrival(min)</t>
  </si>
  <si>
    <t>total service</t>
  </si>
  <si>
    <t>service(min)</t>
  </si>
  <si>
    <t>interarrival</t>
  </si>
  <si>
    <t>SHIFT 1 C1</t>
  </si>
  <si>
    <t>INTERARRIVAL</t>
  </si>
  <si>
    <t>Shift 1 - Counter 1</t>
  </si>
  <si>
    <t>Shift 1</t>
  </si>
  <si>
    <t>BINS</t>
  </si>
  <si>
    <t>MIDPOINT</t>
  </si>
  <si>
    <t>OBS FREQ (SERVICE TIME)</t>
  </si>
  <si>
    <t>MIDPOINT*OBS FREQ</t>
  </si>
  <si>
    <t>L</t>
  </si>
  <si>
    <t>U</t>
  </si>
  <si>
    <t>LP</t>
  </si>
  <si>
    <t>UP</t>
  </si>
  <si>
    <t>P=UP-LP</t>
  </si>
  <si>
    <t>E=N*P</t>
  </si>
  <si>
    <t>O-E</t>
  </si>
  <si>
    <t>(O-E)^2</t>
  </si>
  <si>
    <t>CHI SQ</t>
  </si>
  <si>
    <t>0 to 2</t>
  </si>
  <si>
    <t>2 to 4</t>
  </si>
  <si>
    <t>4 to 6</t>
  </si>
  <si>
    <t>6 to 8</t>
  </si>
  <si>
    <t>8 to 10</t>
  </si>
  <si>
    <t>10 to 12</t>
  </si>
  <si>
    <t>12 to 14</t>
  </si>
  <si>
    <t>SUM</t>
  </si>
  <si>
    <t>mean</t>
  </si>
  <si>
    <t>lambda</t>
  </si>
  <si>
    <t>Since exponential interaarival, so observed data follows Poisson arrival</t>
  </si>
  <si>
    <t>df</t>
  </si>
  <si>
    <t>chi sq tab</t>
  </si>
  <si>
    <t>service (C1)</t>
  </si>
  <si>
    <t>Observed data follows exponential distribution for service time</t>
  </si>
  <si>
    <t>chi sq calc</t>
  </si>
  <si>
    <t>SHIFT2 C1</t>
  </si>
  <si>
    <t>Shift 2 - Counter 1</t>
  </si>
  <si>
    <t>Shift 2</t>
  </si>
  <si>
    <t>Shift 2 - Counter 2</t>
  </si>
  <si>
    <t>14 to16</t>
  </si>
  <si>
    <t>16 to 18</t>
  </si>
  <si>
    <t>18 to 20</t>
  </si>
  <si>
    <t>20 to 22</t>
  </si>
  <si>
    <t>22 to 24</t>
  </si>
  <si>
    <t>sum</t>
  </si>
  <si>
    <t>tab value</t>
  </si>
  <si>
    <t>shift2 service</t>
  </si>
  <si>
    <t>c1</t>
  </si>
  <si>
    <t>14 to 16</t>
  </si>
  <si>
    <t xml:space="preserve">Shift 2 C2 </t>
  </si>
  <si>
    <t>0 to 10</t>
  </si>
  <si>
    <t>10 to 20</t>
  </si>
  <si>
    <t>20 to 30</t>
  </si>
  <si>
    <t>30 to 40</t>
  </si>
  <si>
    <t>40 to 50</t>
  </si>
  <si>
    <t>50 to 60</t>
  </si>
  <si>
    <t>60 to 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</si>
  <si>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</si>
  <si>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Service C2</t>
  </si>
  <si>
    <t>ARRIVAL</t>
  </si>
  <si>
    <t>OVERALL</t>
  </si>
  <si>
    <t>14 TO 16</t>
  </si>
  <si>
    <t>16 TO 18</t>
  </si>
  <si>
    <t>18 TO 20</t>
  </si>
  <si>
    <t>CHI SQ TAB</t>
  </si>
  <si>
    <t xml:space="preserve">DF =8 </t>
  </si>
  <si>
    <t>MEAN</t>
  </si>
  <si>
    <t>MU</t>
  </si>
  <si>
    <t>12 TO 14</t>
  </si>
  <si>
    <t>LAMBDA</t>
  </si>
  <si>
    <t>var</t>
  </si>
  <si>
    <t>X^2 TAB</t>
  </si>
  <si>
    <t>DF</t>
  </si>
  <si>
    <t>SHIFT 1 MEAN INTERARRIVAL</t>
  </si>
  <si>
    <t>service shift 1 avg</t>
  </si>
  <si>
    <t>Lambda</t>
  </si>
  <si>
    <t>cust/min</t>
  </si>
  <si>
    <t>cust per hour</t>
  </si>
  <si>
    <t>mu s1 c1</t>
  </si>
  <si>
    <t>variance</t>
  </si>
  <si>
    <t>COUNTER1</t>
  </si>
  <si>
    <t>mu s2 c1</t>
  </si>
  <si>
    <t>shift 2 service c1</t>
  </si>
  <si>
    <t>shift2 c1</t>
  </si>
  <si>
    <t>mean interarrival</t>
  </si>
  <si>
    <t>mu s2 c2</t>
  </si>
  <si>
    <t>shift2 service c2</t>
  </si>
  <si>
    <t>shift 2 c2</t>
  </si>
  <si>
    <t>UTILIZATION</t>
  </si>
  <si>
    <t>S1 C1</t>
  </si>
  <si>
    <t>S2 C1</t>
  </si>
  <si>
    <t>S2 C2</t>
  </si>
  <si>
    <t>OVERALL COUNTER WISE</t>
  </si>
  <si>
    <t>SHIFT WISE</t>
  </si>
  <si>
    <t>S1</t>
  </si>
  <si>
    <t>S2</t>
  </si>
  <si>
    <t>HISTOGRAM FOR SHIFT 1, COUNTER 1 (Service time)</t>
  </si>
  <si>
    <t>Bin Range</t>
  </si>
  <si>
    <t>Frequency</t>
  </si>
  <si>
    <t>Chi-square</t>
  </si>
  <si>
    <t>0–2</t>
  </si>
  <si>
    <t>2–4</t>
  </si>
  <si>
    <t>4–6</t>
  </si>
  <si>
    <t>6–8</t>
  </si>
  <si>
    <t>8–10</t>
  </si>
  <si>
    <t>10–12</t>
  </si>
  <si>
    <t>HISTOGRAM FOR SHIFT 2, COUNTER 1 (Service time)</t>
  </si>
  <si>
    <t>Bins (Service Time)</t>
  </si>
  <si>
    <t>O Frequency</t>
  </si>
  <si>
    <t>0 – 2</t>
  </si>
  <si>
    <t>2 – 4</t>
  </si>
  <si>
    <t>4 – 6</t>
  </si>
  <si>
    <t>6 – 8</t>
  </si>
  <si>
    <t>8 – 10</t>
  </si>
  <si>
    <t>10 – 12</t>
  </si>
  <si>
    <t>12 – 14</t>
  </si>
  <si>
    <t>14 – 16</t>
  </si>
  <si>
    <t>16 – 18</t>
  </si>
  <si>
    <t>HISTOGRAM FOR SHIFT 2, COUNTER 2 (Service time)</t>
  </si>
  <si>
    <t>Observed (O)</t>
  </si>
  <si>
    <t>OVERALL HISTOGRAM (Service time)</t>
  </si>
  <si>
    <t>chi-square</t>
  </si>
  <si>
    <t>HISTOGRAM (ARRIVAL)</t>
  </si>
  <si>
    <t>x</t>
  </si>
  <si>
    <t>SERVICE TIME</t>
  </si>
  <si>
    <t>Empirical CDF</t>
  </si>
  <si>
    <t>Theoritical CDF</t>
  </si>
  <si>
    <t>i/N+1</t>
  </si>
  <si>
    <r>
      <rPr>
        <sz val="11"/>
        <color rgb="FF000000"/>
        <rFont val="Calibri"/>
      </rPr>
      <t>F(x)=1−e^(</t>
    </r>
    <r>
      <rPr>
        <sz val="10"/>
        <color rgb="FF000000"/>
        <rFont val="Calibri"/>
      </rPr>
      <t>−λx)</t>
    </r>
  </si>
  <si>
    <t>Total Rows              =</t>
  </si>
  <si>
    <t xml:space="preserve">Mean Exponential = </t>
  </si>
  <si>
    <t xml:space="preserve">ARRIVAL TIME </t>
  </si>
  <si>
    <t>InterArrival Time</t>
  </si>
  <si>
    <r>
      <rPr>
        <b/>
        <sz val="11"/>
        <color rgb="FF000000"/>
        <rFont val="Calibri"/>
      </rPr>
      <t>LAMBDA : 1 / avg interrarrival</t>
    </r>
    <r>
      <rPr>
        <sz val="11"/>
        <color rgb="FF000000"/>
        <rFont val="Calibri"/>
      </rPr>
      <t xml:space="preserve"> </t>
    </r>
  </si>
  <si>
    <t>LAMBDA =1/A176</t>
  </si>
  <si>
    <t>Inter-arrival</t>
  </si>
  <si>
    <t>Chi-Square (Exponential Distribution)</t>
  </si>
  <si>
    <t xml:space="preserve">OBS FREQ </t>
  </si>
  <si>
    <t>Chi Sq(calc)</t>
  </si>
  <si>
    <t xml:space="preserve">Mean </t>
  </si>
  <si>
    <t>Observed data follows exponential distribution for interarrival time</t>
  </si>
  <si>
    <t>Max IAT</t>
  </si>
  <si>
    <t>Mean Parameter</t>
  </si>
  <si>
    <t>Observed data follows poisson distribution for arrival time</t>
  </si>
  <si>
    <t>Rate Parameter</t>
  </si>
  <si>
    <t xml:space="preserve">        Service</t>
  </si>
  <si>
    <t>Chi-Square Of C1 Shift-1 (Exponential Distribution)</t>
  </si>
  <si>
    <t xml:space="preserve">       Service</t>
  </si>
  <si>
    <t>Chi-Square Of C1 Shift-2 (Exponential Distribution)</t>
  </si>
  <si>
    <t xml:space="preserve">           Service</t>
  </si>
  <si>
    <t>Chi-Square Of C2 Shift-2 (Exponential Distribution)</t>
  </si>
  <si>
    <t xml:space="preserve">         Service</t>
  </si>
  <si>
    <t>Chi-Square Overall (Exponential Distribution)</t>
  </si>
  <si>
    <t>Seprated data</t>
  </si>
  <si>
    <t>Counter 2</t>
  </si>
  <si>
    <t>Seprated Data</t>
  </si>
  <si>
    <t>Mid Point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</si>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</sst>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sz val="11"/>
      <color theme="2" tint="-0.499984740745262"/>
      <name val="Calibri"/>
      <charset val="1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charset val="134"/>
    </font>
    <font>
      <b/>
      <sz val="13"/>
      <color rgb="FFFFF2CC"/>
      <name val="Calibri"/>
      <family val="2"/>
      <scheme val="minor"/>
    </font>
    <font>
      <sz val="11"/>
      <color rgb="FFFFF2CC"/>
      <name val="Calibri"/>
      <family val="2"/>
      <scheme val="minor"/>
    </font>
    <font>
      <b/>
      <sz val="14"/>
      <color rgb="FFFFF2CC"/>
      <name val="Calibri"/>
      <scheme val="minor"/>
    </font>
    <font>
      <sz val="10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84211"/>
        <bgColor indexed="64"/>
      </patternFill>
    </fill>
    <fill>
      <patternFill patternType="solid">
        <fgColor theme="9" tint="0.59999389629810485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theme="9" tint="-0.499984740745262"/>
      </left>
      <right/>
      <top style="dashed">
        <color theme="9" tint="-0.499984740745262"/>
      </top>
      <bottom/>
      <diagonal/>
    </border>
    <border>
      <left/>
      <right style="dashed">
        <color theme="9" tint="-0.499984740745262"/>
      </right>
      <top style="dashed">
        <color theme="9" tint="-0.499984740745262"/>
      </top>
      <bottom/>
      <diagonal/>
    </border>
    <border>
      <left style="dashed">
        <color theme="9" tint="-0.499984740745262"/>
      </left>
      <right/>
      <top/>
      <bottom/>
      <diagonal/>
    </border>
    <border>
      <left/>
      <right style="dashed">
        <color theme="9" tint="-0.499984740745262"/>
      </right>
      <top/>
      <bottom/>
      <diagonal/>
    </border>
    <border>
      <left style="dashed">
        <color theme="9" tint="-0.499984740745262"/>
      </left>
      <right/>
      <top/>
      <bottom style="dashed">
        <color theme="9" tint="-0.499984740745262"/>
      </bottom>
      <diagonal/>
    </border>
    <border>
      <left/>
      <right style="dashed">
        <color theme="9" tint="-0.499984740745262"/>
      </right>
      <top/>
      <bottom style="dashed">
        <color theme="9" tint="-0.499984740745262"/>
      </bottom>
      <diagonal/>
    </border>
    <border>
      <left/>
      <right/>
      <top style="dashed">
        <color theme="9" tint="-0.499984740745262"/>
      </top>
      <bottom/>
      <diagonal/>
    </border>
    <border>
      <left/>
      <right/>
      <top/>
      <bottom style="dashed">
        <color theme="9" tint="-0.499984740745262"/>
      </bottom>
      <diagonal/>
    </border>
    <border>
      <left style="dashed">
        <color theme="9" tint="-0.499984740745262"/>
      </left>
      <right/>
      <top style="dashed">
        <color theme="9" tint="-0.499984740745262"/>
      </top>
      <bottom style="dashed">
        <color theme="9" tint="-0.499984740745262"/>
      </bottom>
      <diagonal/>
    </border>
    <border>
      <left/>
      <right/>
      <top style="dashed">
        <color theme="9" tint="-0.499984740745262"/>
      </top>
      <bottom style="dashed">
        <color theme="9" tint="-0.499984740745262"/>
      </bottom>
      <diagonal/>
    </border>
    <border>
      <left/>
      <right style="dashed">
        <color theme="9" tint="-0.499984740745262"/>
      </right>
      <top style="dashed">
        <color theme="9" tint="-0.499984740745262"/>
      </top>
      <bottom style="dashed">
        <color theme="9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theme="9" tint="-0.499984740745262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784211"/>
      </left>
      <right/>
      <top style="dashed">
        <color rgb="FF784211"/>
      </top>
      <bottom style="dashed">
        <color rgb="FF784211"/>
      </bottom>
      <diagonal/>
    </border>
    <border>
      <left/>
      <right/>
      <top style="dashed">
        <color rgb="FF784211"/>
      </top>
      <bottom style="dashed">
        <color rgb="FF784211"/>
      </bottom>
      <diagonal/>
    </border>
    <border>
      <left/>
      <right style="dashed">
        <color rgb="FF784211"/>
      </right>
      <top style="dashed">
        <color rgb="FF784211"/>
      </top>
      <bottom style="dashed">
        <color rgb="FF784211"/>
      </bottom>
      <diagonal/>
    </border>
    <border>
      <left style="dashed">
        <color rgb="FFFFF2CC"/>
      </left>
      <right/>
      <top style="dashed">
        <color rgb="FFFFF2CC"/>
      </top>
      <bottom/>
      <diagonal/>
    </border>
    <border>
      <left/>
      <right/>
      <top style="dashed">
        <color rgb="FFFFF2CC"/>
      </top>
      <bottom/>
      <diagonal/>
    </border>
    <border>
      <left/>
      <right style="dashed">
        <color rgb="FFFFF2CC"/>
      </right>
      <top style="dashed">
        <color rgb="FFFFF2CC"/>
      </top>
      <bottom/>
      <diagonal/>
    </border>
    <border>
      <left style="dashed">
        <color rgb="FFFFF2CC"/>
      </left>
      <right/>
      <top/>
      <bottom style="dashed">
        <color rgb="FFFFF2CC"/>
      </bottom>
      <diagonal/>
    </border>
    <border>
      <left/>
      <right/>
      <top/>
      <bottom style="dashed">
        <color rgb="FFFFF2CC"/>
      </bottom>
      <diagonal/>
    </border>
    <border>
      <left/>
      <right style="dashed">
        <color rgb="FFFFF2CC"/>
      </right>
      <top/>
      <bottom style="dashed">
        <color rgb="FFFFF2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7">
    <xf numFmtId="0" fontId="0" fillId="0" borderId="0" xfId="0"/>
    <xf numFmtId="2" fontId="0" fillId="0" borderId="0" xfId="0" applyNumberFormat="1"/>
    <xf numFmtId="20" fontId="0" fillId="34" borderId="0" xfId="0" applyNumberFormat="1" applyFill="1"/>
    <xf numFmtId="0" fontId="0" fillId="34" borderId="0" xfId="0" applyFill="1"/>
    <xf numFmtId="2" fontId="0" fillId="34" borderId="0" xfId="0" applyNumberFormat="1" applyFill="1"/>
    <xf numFmtId="20" fontId="0" fillId="35" borderId="0" xfId="0" applyNumberFormat="1" applyFill="1"/>
    <xf numFmtId="0" fontId="0" fillId="35" borderId="0" xfId="0" applyFill="1"/>
    <xf numFmtId="2" fontId="0" fillId="35" borderId="0" xfId="0" applyNumberFormat="1" applyFill="1"/>
    <xf numFmtId="0" fontId="18" fillId="36" borderId="0" xfId="0" applyFont="1" applyFill="1"/>
    <xf numFmtId="2" fontId="18" fillId="36" borderId="0" xfId="0" applyNumberFormat="1" applyFont="1" applyFill="1"/>
    <xf numFmtId="2" fontId="0" fillId="35" borderId="0" xfId="0" applyNumberFormat="1" applyFill="1" applyAlignment="1">
      <alignment wrapText="1"/>
    </xf>
    <xf numFmtId="0" fontId="20" fillId="36" borderId="0" xfId="0" applyFont="1" applyFill="1"/>
    <xf numFmtId="0" fontId="20" fillId="36" borderId="0" xfId="0" applyFont="1" applyFill="1" applyAlignment="1">
      <alignment horizontal="center"/>
    </xf>
    <xf numFmtId="0" fontId="20" fillId="36" borderId="0" xfId="0" applyFont="1" applyFill="1" applyAlignment="1">
      <alignment horizontal="center" wrapText="1"/>
    </xf>
    <xf numFmtId="2" fontId="20" fillId="36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20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2" fontId="0" fillId="34" borderId="0" xfId="0" applyNumberFormat="1" applyFill="1" applyAlignment="1">
      <alignment horizontal="center"/>
    </xf>
    <xf numFmtId="20" fontId="0" fillId="35" borderId="0" xfId="0" applyNumberFormat="1" applyFill="1" applyAlignment="1">
      <alignment horizontal="center"/>
    </xf>
    <xf numFmtId="0" fontId="0" fillId="35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20" fontId="13" fillId="38" borderId="0" xfId="0" applyNumberFormat="1" applyFont="1" applyFill="1" applyAlignment="1">
      <alignment horizontal="center"/>
    </xf>
    <xf numFmtId="0" fontId="13" fillId="38" borderId="0" xfId="0" applyFont="1" applyFill="1" applyAlignment="1">
      <alignment horizontal="center"/>
    </xf>
    <xf numFmtId="2" fontId="13" fillId="38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2" fontId="0" fillId="39" borderId="0" xfId="0" applyNumberFormat="1" applyFill="1" applyAlignment="1">
      <alignment horizontal="center"/>
    </xf>
    <xf numFmtId="20" fontId="21" fillId="33" borderId="18" xfId="0" applyNumberFormat="1" applyFont="1" applyFill="1" applyBorder="1" applyAlignment="1">
      <alignment horizontal="center"/>
    </xf>
    <xf numFmtId="0" fontId="22" fillId="33" borderId="19" xfId="0" applyFont="1" applyFill="1" applyBorder="1" applyAlignment="1">
      <alignment horizontal="center"/>
    </xf>
    <xf numFmtId="0" fontId="21" fillId="33" borderId="19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20" fillId="36" borderId="10" xfId="0" applyFont="1" applyFill="1" applyBorder="1" applyAlignment="1">
      <alignment horizontal="center"/>
    </xf>
    <xf numFmtId="0" fontId="20" fillId="36" borderId="16" xfId="0" applyFont="1" applyFill="1" applyBorder="1" applyAlignment="1">
      <alignment horizontal="center"/>
    </xf>
    <xf numFmtId="2" fontId="20" fillId="36" borderId="16" xfId="0" applyNumberFormat="1" applyFont="1" applyFill="1" applyBorder="1" applyAlignment="1">
      <alignment horizontal="center"/>
    </xf>
    <xf numFmtId="0" fontId="0" fillId="0" borderId="16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5" xfId="0" applyBorder="1"/>
    <xf numFmtId="0" fontId="23" fillId="33" borderId="10" xfId="0" applyFont="1" applyFill="1" applyBorder="1" applyAlignment="1">
      <alignment horizontal="center"/>
    </xf>
    <xf numFmtId="0" fontId="23" fillId="33" borderId="11" xfId="0" applyFont="1" applyFill="1" applyBorder="1" applyAlignment="1">
      <alignment horizontal="center"/>
    </xf>
    <xf numFmtId="0" fontId="23" fillId="33" borderId="12" xfId="0" applyFont="1" applyFill="1" applyBorder="1" applyAlignment="1">
      <alignment horizontal="center"/>
    </xf>
    <xf numFmtId="0" fontId="23" fillId="33" borderId="13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  <xf numFmtId="0" fontId="23" fillId="33" borderId="15" xfId="0" applyFont="1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2" fontId="16" fillId="33" borderId="0" xfId="0" applyNumberFormat="1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2" fontId="24" fillId="33" borderId="0" xfId="0" applyNumberFormat="1" applyFont="1" applyFill="1" applyAlignment="1">
      <alignment horizontal="center"/>
    </xf>
    <xf numFmtId="0" fontId="25" fillId="36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0" fillId="33" borderId="21" xfId="0" applyFill="1" applyBorder="1" applyAlignment="1">
      <alignment horizontal="center"/>
    </xf>
    <xf numFmtId="2" fontId="0" fillId="33" borderId="21" xfId="0" applyNumberFormat="1" applyFill="1" applyBorder="1" applyAlignment="1">
      <alignment horizontal="center" wrapText="1"/>
    </xf>
    <xf numFmtId="2" fontId="0" fillId="33" borderId="21" xfId="0" applyNumberFormat="1" applyFill="1" applyBorder="1" applyAlignment="1">
      <alignment horizontal="center"/>
    </xf>
    <xf numFmtId="16" fontId="0" fillId="33" borderId="21" xfId="0" applyNumberFormat="1" applyFill="1" applyBorder="1" applyAlignment="1">
      <alignment horizontal="center"/>
    </xf>
    <xf numFmtId="0" fontId="0" fillId="41" borderId="21" xfId="0" applyFill="1" applyBorder="1" applyAlignment="1">
      <alignment horizontal="center"/>
    </xf>
    <xf numFmtId="0" fontId="0" fillId="35" borderId="25" xfId="0" applyFill="1" applyBorder="1" applyAlignment="1">
      <alignment horizontal="center"/>
    </xf>
    <xf numFmtId="0" fontId="0" fillId="35" borderId="26" xfId="0" applyFill="1" applyBorder="1" applyAlignment="1">
      <alignment horizontal="center"/>
    </xf>
    <xf numFmtId="0" fontId="0" fillId="35" borderId="27" xfId="0" applyFill="1" applyBorder="1" applyAlignment="1">
      <alignment horizontal="center"/>
    </xf>
    <xf numFmtId="0" fontId="0" fillId="41" borderId="28" xfId="0" applyFill="1" applyBorder="1" applyAlignment="1">
      <alignment horizontal="center"/>
    </xf>
    <xf numFmtId="0" fontId="0" fillId="33" borderId="28" xfId="0" applyFill="1" applyBorder="1" applyAlignment="1">
      <alignment horizontal="center"/>
    </xf>
    <xf numFmtId="2" fontId="0" fillId="33" borderId="28" xfId="0" applyNumberFormat="1" applyFill="1" applyBorder="1" applyAlignment="1">
      <alignment horizontal="center"/>
    </xf>
    <xf numFmtId="0" fontId="19" fillId="37" borderId="21" xfId="0" applyFont="1" applyFill="1" applyBorder="1" applyAlignment="1">
      <alignment horizontal="center"/>
    </xf>
    <xf numFmtId="2" fontId="19" fillId="37" borderId="21" xfId="0" applyNumberFormat="1" applyFont="1" applyFill="1" applyBorder="1" applyAlignment="1">
      <alignment horizontal="center"/>
    </xf>
    <xf numFmtId="0" fontId="19" fillId="37" borderId="39" xfId="0" applyFont="1" applyFill="1" applyBorder="1" applyAlignment="1">
      <alignment horizontal="center"/>
    </xf>
    <xf numFmtId="0" fontId="19" fillId="37" borderId="40" xfId="0" applyFont="1" applyFill="1" applyBorder="1" applyAlignment="1">
      <alignment horizontal="center"/>
    </xf>
    <xf numFmtId="0" fontId="26" fillId="33" borderId="0" xfId="0" applyFont="1" applyFill="1"/>
    <xf numFmtId="0" fontId="20" fillId="36" borderId="22" xfId="0" applyFont="1" applyFill="1" applyBorder="1" applyAlignment="1">
      <alignment horizontal="center"/>
    </xf>
    <xf numFmtId="0" fontId="20" fillId="36" borderId="23" xfId="0" applyFont="1" applyFill="1" applyBorder="1" applyAlignment="1">
      <alignment horizontal="center"/>
    </xf>
    <xf numFmtId="2" fontId="20" fillId="36" borderId="23" xfId="0" applyNumberFormat="1" applyFont="1" applyFill="1" applyBorder="1" applyAlignment="1">
      <alignment horizontal="center"/>
    </xf>
    <xf numFmtId="0" fontId="20" fillId="36" borderId="24" xfId="0" applyFont="1" applyFill="1" applyBorder="1" applyAlignment="1">
      <alignment horizontal="center"/>
    </xf>
    <xf numFmtId="0" fontId="0" fillId="39" borderId="0" xfId="0" applyFill="1"/>
    <xf numFmtId="0" fontId="0" fillId="39" borderId="0" xfId="0" applyFill="1" applyAlignment="1">
      <alignment horizontal="center" wrapText="1"/>
    </xf>
    <xf numFmtId="0" fontId="20" fillId="36" borderId="36" xfId="0" applyFont="1" applyFill="1" applyBorder="1" applyAlignment="1">
      <alignment horizontal="center"/>
    </xf>
    <xf numFmtId="0" fontId="20" fillId="36" borderId="37" xfId="0" applyFont="1" applyFill="1" applyBorder="1" applyAlignment="1">
      <alignment horizontal="center"/>
    </xf>
    <xf numFmtId="2" fontId="20" fillId="36" borderId="37" xfId="0" applyNumberFormat="1" applyFont="1" applyFill="1" applyBorder="1" applyAlignment="1">
      <alignment horizontal="center"/>
    </xf>
    <xf numFmtId="0" fontId="20" fillId="36" borderId="38" xfId="0" applyFont="1" applyFill="1" applyBorder="1" applyAlignment="1">
      <alignment horizontal="center"/>
    </xf>
    <xf numFmtId="0" fontId="0" fillId="33" borderId="39" xfId="0" applyFill="1" applyBorder="1" applyAlignment="1">
      <alignment horizontal="center"/>
    </xf>
    <xf numFmtId="0" fontId="0" fillId="33" borderId="40" xfId="0" applyFill="1" applyBorder="1" applyAlignment="1">
      <alignment horizontal="center"/>
    </xf>
    <xf numFmtId="16" fontId="0" fillId="33" borderId="39" xfId="0" applyNumberFormat="1" applyFill="1" applyBorder="1" applyAlignment="1">
      <alignment horizontal="center"/>
    </xf>
    <xf numFmtId="0" fontId="16" fillId="33" borderId="39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2" fontId="16" fillId="33" borderId="21" xfId="0" applyNumberFormat="1" applyFont="1" applyFill="1" applyBorder="1" applyAlignment="1">
      <alignment horizontal="center"/>
    </xf>
    <xf numFmtId="0" fontId="16" fillId="33" borderId="40" xfId="0" applyFont="1" applyFill="1" applyBorder="1" applyAlignment="1">
      <alignment horizontal="center"/>
    </xf>
    <xf numFmtId="0" fontId="16" fillId="33" borderId="42" xfId="0" applyFont="1" applyFill="1" applyBorder="1" applyAlignment="1">
      <alignment horizontal="center"/>
    </xf>
    <xf numFmtId="0" fontId="19" fillId="39" borderId="21" xfId="0" applyFont="1" applyFill="1" applyBorder="1" applyAlignment="1">
      <alignment horizontal="center"/>
    </xf>
    <xf numFmtId="2" fontId="19" fillId="39" borderId="21" xfId="0" applyNumberFormat="1" applyFont="1" applyFill="1" applyBorder="1" applyAlignment="1">
      <alignment horizontal="center"/>
    </xf>
    <xf numFmtId="0" fontId="19" fillId="39" borderId="40" xfId="0" applyFont="1" applyFill="1" applyBorder="1" applyAlignment="1">
      <alignment horizontal="center"/>
    </xf>
    <xf numFmtId="0" fontId="19" fillId="39" borderId="42" xfId="0" applyFont="1" applyFill="1" applyBorder="1" applyAlignment="1">
      <alignment horizontal="center"/>
    </xf>
    <xf numFmtId="2" fontId="19" fillId="39" borderId="42" xfId="0" applyNumberFormat="1" applyFont="1" applyFill="1" applyBorder="1" applyAlignment="1">
      <alignment horizontal="center"/>
    </xf>
    <xf numFmtId="0" fontId="19" fillId="39" borderId="43" xfId="0" applyFont="1" applyFill="1" applyBorder="1" applyAlignment="1">
      <alignment horizontal="center"/>
    </xf>
    <xf numFmtId="0" fontId="18" fillId="39" borderId="0" xfId="0" applyFont="1" applyFill="1"/>
    <xf numFmtId="0" fontId="20" fillId="36" borderId="29" xfId="0" applyFont="1" applyFill="1" applyBorder="1" applyAlignment="1">
      <alignment horizontal="center"/>
    </xf>
    <xf numFmtId="0" fontId="20" fillId="36" borderId="30" xfId="0" applyFont="1" applyFill="1" applyBorder="1" applyAlignment="1">
      <alignment horizontal="center"/>
    </xf>
    <xf numFmtId="0" fontId="0" fillId="35" borderId="41" xfId="0" applyFill="1" applyBorder="1" applyAlignment="1">
      <alignment horizontal="center"/>
    </xf>
    <xf numFmtId="0" fontId="0" fillId="35" borderId="42" xfId="0" applyFill="1" applyBorder="1" applyAlignment="1">
      <alignment horizontal="center"/>
    </xf>
    <xf numFmtId="0" fontId="0" fillId="35" borderId="43" xfId="0" applyFill="1" applyBorder="1" applyAlignment="1">
      <alignment horizontal="center"/>
    </xf>
    <xf numFmtId="0" fontId="16" fillId="33" borderId="33" xfId="0" applyFont="1" applyFill="1" applyBorder="1"/>
    <xf numFmtId="0" fontId="16" fillId="33" borderId="34" xfId="0" applyFont="1" applyFill="1" applyBorder="1"/>
    <xf numFmtId="2" fontId="16" fillId="33" borderId="34" xfId="0" applyNumberFormat="1" applyFont="1" applyFill="1" applyBorder="1" applyAlignment="1">
      <alignment horizontal="center"/>
    </xf>
    <xf numFmtId="0" fontId="16" fillId="33" borderId="34" xfId="0" applyFont="1" applyFill="1" applyBorder="1" applyAlignment="1">
      <alignment horizontal="center"/>
    </xf>
    <xf numFmtId="0" fontId="16" fillId="33" borderId="35" xfId="0" applyFont="1" applyFill="1" applyBorder="1" applyAlignment="1">
      <alignment horizontal="center"/>
    </xf>
    <xf numFmtId="0" fontId="16" fillId="33" borderId="25" xfId="0" applyFont="1" applyFill="1" applyBorder="1" applyAlignment="1">
      <alignment horizontal="center"/>
    </xf>
    <xf numFmtId="0" fontId="16" fillId="33" borderId="26" xfId="0" applyFont="1" applyFill="1" applyBorder="1" applyAlignment="1">
      <alignment horizontal="center"/>
    </xf>
    <xf numFmtId="2" fontId="16" fillId="33" borderId="26" xfId="0" applyNumberFormat="1" applyFont="1" applyFill="1" applyBorder="1" applyAlignment="1">
      <alignment horizontal="center"/>
    </xf>
    <xf numFmtId="0" fontId="16" fillId="33" borderId="27" xfId="0" applyFont="1" applyFill="1" applyBorder="1" applyAlignment="1">
      <alignment horizontal="center"/>
    </xf>
    <xf numFmtId="0" fontId="0" fillId="33" borderId="36" xfId="0" applyFill="1" applyBorder="1" applyAlignment="1">
      <alignment horizontal="center"/>
    </xf>
    <xf numFmtId="0" fontId="0" fillId="33" borderId="37" xfId="0" applyFill="1" applyBorder="1" applyAlignment="1">
      <alignment horizontal="center"/>
    </xf>
    <xf numFmtId="2" fontId="0" fillId="33" borderId="37" xfId="0" applyNumberFormat="1" applyFill="1" applyBorder="1" applyAlignment="1">
      <alignment horizontal="center"/>
    </xf>
    <xf numFmtId="0" fontId="0" fillId="33" borderId="38" xfId="0" applyFill="1" applyBorder="1" applyAlignment="1">
      <alignment horizontal="center"/>
    </xf>
    <xf numFmtId="0" fontId="0" fillId="33" borderId="41" xfId="0" applyFill="1" applyBorder="1" applyAlignment="1">
      <alignment horizontal="center"/>
    </xf>
    <xf numFmtId="0" fontId="0" fillId="33" borderId="42" xfId="0" applyFill="1" applyBorder="1" applyAlignment="1">
      <alignment horizontal="center"/>
    </xf>
    <xf numFmtId="2" fontId="0" fillId="33" borderId="42" xfId="0" applyNumberFormat="1" applyFill="1" applyBorder="1" applyAlignment="1">
      <alignment horizontal="center"/>
    </xf>
    <xf numFmtId="0" fontId="0" fillId="33" borderId="43" xfId="0" applyFill="1" applyBorder="1" applyAlignment="1">
      <alignment horizontal="center"/>
    </xf>
    <xf numFmtId="0" fontId="20" fillId="36" borderId="32" xfId="0" applyFont="1" applyFill="1" applyBorder="1" applyAlignment="1">
      <alignment horizontal="center"/>
    </xf>
    <xf numFmtId="0" fontId="0" fillId="39" borderId="44" xfId="0" applyFill="1" applyBorder="1" applyAlignment="1">
      <alignment horizontal="center"/>
    </xf>
    <xf numFmtId="0" fontId="0" fillId="39" borderId="31" xfId="0" applyFill="1" applyBorder="1" applyAlignment="1">
      <alignment horizontal="center"/>
    </xf>
    <xf numFmtId="0" fontId="0" fillId="39" borderId="32" xfId="0" applyFill="1" applyBorder="1"/>
    <xf numFmtId="2" fontId="0" fillId="33" borderId="0" xfId="0" applyNumberFormat="1" applyFill="1" applyAlignment="1">
      <alignment horizontal="center"/>
    </xf>
    <xf numFmtId="0" fontId="0" fillId="33" borderId="0" xfId="0" applyFill="1"/>
    <xf numFmtId="0" fontId="0" fillId="33" borderId="21" xfId="0" applyFill="1" applyBorder="1" applyAlignment="1">
      <alignment horizontal="center" wrapText="1"/>
    </xf>
    <xf numFmtId="0" fontId="27" fillId="42" borderId="0" xfId="0" applyFont="1" applyFill="1" applyAlignment="1">
      <alignment horizontal="center"/>
    </xf>
    <xf numFmtId="0" fontId="22" fillId="42" borderId="0" xfId="0" applyFont="1" applyFill="1" applyAlignment="1">
      <alignment horizontal="center"/>
    </xf>
    <xf numFmtId="0" fontId="16" fillId="4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 wrapText="1"/>
    </xf>
    <xf numFmtId="0" fontId="0" fillId="0" borderId="0" xfId="0" applyFill="1"/>
    <xf numFmtId="0" fontId="16" fillId="42" borderId="0" xfId="0" applyFont="1" applyFill="1"/>
    <xf numFmtId="0" fontId="16" fillId="42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0" borderId="0" xfId="0" applyFont="1"/>
    <xf numFmtId="0" fontId="0" fillId="0" borderId="44" xfId="0" applyBorder="1"/>
    <xf numFmtId="0" fontId="19" fillId="36" borderId="0" xfId="0" applyFont="1" applyFill="1"/>
    <xf numFmtId="2" fontId="19" fillId="36" borderId="0" xfId="0" applyNumberFormat="1" applyFont="1" applyFill="1"/>
    <xf numFmtId="0" fontId="20" fillId="36" borderId="21" xfId="0" applyFont="1" applyFill="1" applyBorder="1" applyAlignment="1">
      <alignment horizontal="center"/>
    </xf>
    <xf numFmtId="2" fontId="20" fillId="36" borderId="21" xfId="0" applyNumberFormat="1" applyFont="1" applyFill="1" applyBorder="1" applyAlignment="1">
      <alignment horizontal="center"/>
    </xf>
    <xf numFmtId="0" fontId="0" fillId="33" borderId="21" xfId="0" applyFill="1" applyBorder="1" applyAlignment="1">
      <alignment horizontal="center" vertical="center"/>
    </xf>
    <xf numFmtId="0" fontId="22" fillId="39" borderId="0" xfId="0" applyFont="1" applyFill="1" applyBorder="1" applyAlignment="1">
      <alignment horizontal="center"/>
    </xf>
    <xf numFmtId="0" fontId="0" fillId="39" borderId="0" xfId="0" applyFill="1" applyBorder="1" applyAlignment="1">
      <alignment horizontal="center"/>
    </xf>
    <xf numFmtId="20" fontId="30" fillId="45" borderId="45" xfId="0" applyNumberFormat="1" applyFont="1" applyFill="1" applyBorder="1" applyAlignment="1">
      <alignment horizontal="center"/>
    </xf>
    <xf numFmtId="0" fontId="0" fillId="45" borderId="46" xfId="0" applyFont="1" applyFill="1" applyBorder="1" applyAlignment="1">
      <alignment horizontal="center"/>
    </xf>
    <xf numFmtId="0" fontId="18" fillId="39" borderId="0" xfId="0" applyFont="1" applyFill="1" applyAlignment="1">
      <alignment horizontal="center"/>
    </xf>
    <xf numFmtId="2" fontId="0" fillId="43" borderId="0" xfId="0" applyNumberFormat="1" applyFill="1" applyAlignment="1">
      <alignment horizontal="center"/>
    </xf>
    <xf numFmtId="0" fontId="0" fillId="39" borderId="0" xfId="0" applyFill="1" applyBorder="1"/>
    <xf numFmtId="0" fontId="20" fillId="36" borderId="0" xfId="0" applyFont="1" applyFill="1" applyBorder="1" applyAlignment="1">
      <alignment horizontal="center"/>
    </xf>
    <xf numFmtId="0" fontId="0" fillId="33" borderId="47" xfId="0" applyFill="1" applyBorder="1" applyAlignment="1">
      <alignment horizontal="center"/>
    </xf>
    <xf numFmtId="0" fontId="32" fillId="47" borderId="29" xfId="0" applyFont="1" applyFill="1" applyBorder="1" applyAlignment="1"/>
    <xf numFmtId="2" fontId="32" fillId="47" borderId="48" xfId="0" applyNumberFormat="1" applyFont="1" applyFill="1" applyBorder="1" applyAlignment="1"/>
    <xf numFmtId="0" fontId="32" fillId="47" borderId="31" xfId="0" applyFont="1" applyFill="1" applyBorder="1" applyAlignment="1"/>
    <xf numFmtId="2" fontId="32" fillId="47" borderId="32" xfId="0" applyNumberFormat="1" applyFont="1" applyFill="1" applyBorder="1" applyAlignment="1"/>
    <xf numFmtId="0" fontId="32" fillId="47" borderId="32" xfId="0" applyFont="1" applyFill="1" applyBorder="1" applyAlignment="1"/>
    <xf numFmtId="0" fontId="32" fillId="47" borderId="33" xfId="0" applyFont="1" applyFill="1" applyBorder="1" applyAlignment="1"/>
    <xf numFmtId="0" fontId="32" fillId="47" borderId="35" xfId="0" applyFont="1" applyFill="1" applyBorder="1" applyAlignment="1"/>
    <xf numFmtId="0" fontId="16" fillId="33" borderId="49" xfId="0" applyFont="1" applyFill="1" applyBorder="1" applyAlignment="1">
      <alignment horizontal="center"/>
    </xf>
    <xf numFmtId="2" fontId="16" fillId="33" borderId="49" xfId="0" applyNumberFormat="1" applyFont="1" applyFill="1" applyBorder="1" applyAlignment="1">
      <alignment horizontal="center"/>
    </xf>
    <xf numFmtId="0" fontId="16" fillId="33" borderId="50" xfId="0" applyFont="1" applyFill="1" applyBorder="1" applyAlignment="1">
      <alignment horizontal="center"/>
    </xf>
    <xf numFmtId="0" fontId="16" fillId="33" borderId="51" xfId="0" applyFont="1" applyFill="1" applyBorder="1" applyAlignment="1">
      <alignment horizontal="center"/>
    </xf>
    <xf numFmtId="0" fontId="16" fillId="33" borderId="50" xfId="0" applyFont="1" applyFill="1" applyBorder="1"/>
    <xf numFmtId="0" fontId="0" fillId="0" borderId="56" xfId="0" applyBorder="1"/>
    <xf numFmtId="0" fontId="0" fillId="0" borderId="57" xfId="0" applyBorder="1"/>
    <xf numFmtId="0" fontId="0" fillId="0" borderId="59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46" borderId="56" xfId="0" applyFill="1" applyBorder="1" applyAlignment="1"/>
    <xf numFmtId="0" fontId="0" fillId="39" borderId="56" xfId="0" applyFill="1" applyBorder="1" applyAlignment="1"/>
    <xf numFmtId="0" fontId="0" fillId="46" borderId="59" xfId="0" applyFill="1" applyBorder="1" applyAlignment="1"/>
    <xf numFmtId="0" fontId="0" fillId="39" borderId="59" xfId="0" applyFill="1" applyBorder="1" applyAlignment="1"/>
    <xf numFmtId="0" fontId="0" fillId="46" borderId="56" xfId="0" applyFill="1" applyBorder="1"/>
    <xf numFmtId="0" fontId="0" fillId="46" borderId="57" xfId="0" applyFill="1" applyBorder="1"/>
    <xf numFmtId="0" fontId="0" fillId="46" borderId="59" xfId="0" applyFill="1" applyBorder="1"/>
    <xf numFmtId="0" fontId="0" fillId="46" borderId="60" xfId="0" applyFill="1" applyBorder="1"/>
    <xf numFmtId="2" fontId="0" fillId="44" borderId="0" xfId="0" applyNumberFormat="1" applyFont="1" applyFill="1" applyAlignment="1">
      <alignment horizontal="center"/>
    </xf>
    <xf numFmtId="2" fontId="0" fillId="43" borderId="0" xfId="0" applyNumberFormat="1" applyFont="1" applyFill="1" applyAlignment="1">
      <alignment horizontal="center"/>
    </xf>
    <xf numFmtId="0" fontId="29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2" fillId="42" borderId="0" xfId="0" applyFont="1" applyFill="1" applyAlignment="1">
      <alignment horizontal="center" vertical="center"/>
    </xf>
    <xf numFmtId="0" fontId="27" fillId="4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6" fillId="42" borderId="0" xfId="0" applyFont="1" applyFill="1" applyAlignment="1">
      <alignment horizontal="center" vertical="center"/>
    </xf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1" xfId="0" applyBorder="1" applyAlignment="1">
      <alignment wrapText="1"/>
    </xf>
    <xf numFmtId="0" fontId="16" fillId="43" borderId="0" xfId="0" applyFont="1" applyFill="1" applyAlignment="1">
      <alignment horizontal="center" wrapText="1"/>
    </xf>
    <xf numFmtId="0" fontId="0" fillId="45" borderId="21" xfId="0" applyFill="1" applyBorder="1"/>
    <xf numFmtId="0" fontId="0" fillId="45" borderId="21" xfId="0" applyFill="1" applyBorder="1" applyAlignment="1">
      <alignment wrapText="1"/>
    </xf>
    <xf numFmtId="0" fontId="0" fillId="45" borderId="21" xfId="0" applyFill="1" applyBorder="1" applyAlignment="1">
      <alignment horizontal="center"/>
    </xf>
    <xf numFmtId="2" fontId="0" fillId="45" borderId="21" xfId="0" applyNumberFormat="1" applyFill="1" applyBorder="1" applyAlignment="1">
      <alignment horizontal="center"/>
    </xf>
    <xf numFmtId="16" fontId="0" fillId="45" borderId="21" xfId="0" applyNumberFormat="1" applyFill="1" applyBorder="1" applyAlignment="1">
      <alignment horizontal="center"/>
    </xf>
    <xf numFmtId="11" fontId="0" fillId="45" borderId="21" xfId="0" applyNumberFormat="1" applyFill="1" applyBorder="1"/>
    <xf numFmtId="0" fontId="16" fillId="48" borderId="21" xfId="0" applyFont="1" applyFill="1" applyBorder="1"/>
    <xf numFmtId="0" fontId="27" fillId="48" borderId="21" xfId="0" applyFont="1" applyFill="1" applyBorder="1"/>
    <xf numFmtId="0" fontId="16" fillId="48" borderId="0" xfId="0" applyFont="1" applyFill="1"/>
    <xf numFmtId="0" fontId="16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22" fillId="43" borderId="0" xfId="0" applyFont="1" applyFill="1" applyAlignment="1">
      <alignment horizontal="center"/>
    </xf>
    <xf numFmtId="0" fontId="0" fillId="45" borderId="28" xfId="0" applyFill="1" applyBorder="1" applyAlignment="1">
      <alignment horizontal="center"/>
    </xf>
    <xf numFmtId="0" fontId="0" fillId="45" borderId="28" xfId="0" applyFill="1" applyBorder="1"/>
    <xf numFmtId="0" fontId="0" fillId="45" borderId="65" xfId="0" applyFill="1" applyBorder="1" applyAlignment="1">
      <alignment horizontal="center"/>
    </xf>
    <xf numFmtId="0" fontId="13" fillId="39" borderId="0" xfId="0" applyFont="1" applyFill="1"/>
    <xf numFmtId="0" fontId="13" fillId="40" borderId="0" xfId="0" applyFont="1" applyFill="1" applyAlignment="1">
      <alignment horizontal="center"/>
    </xf>
    <xf numFmtId="0" fontId="33" fillId="46" borderId="55" xfId="0" applyFont="1" applyFill="1" applyBorder="1" applyAlignment="1">
      <alignment horizontal="left"/>
    </xf>
    <xf numFmtId="0" fontId="0" fillId="46" borderId="56" xfId="0" applyFill="1" applyBorder="1" applyAlignment="1">
      <alignment horizontal="left"/>
    </xf>
    <xf numFmtId="0" fontId="0" fillId="46" borderId="58" xfId="0" applyFill="1" applyBorder="1" applyAlignment="1">
      <alignment horizontal="left"/>
    </xf>
    <xf numFmtId="0" fontId="0" fillId="46" borderId="59" xfId="0" applyFill="1" applyBorder="1" applyAlignment="1">
      <alignment horizontal="left"/>
    </xf>
    <xf numFmtId="0" fontId="31" fillId="46" borderId="56" xfId="0" applyFont="1" applyFill="1" applyBorder="1" applyAlignment="1">
      <alignment horizontal="center"/>
    </xf>
    <xf numFmtId="0" fontId="31" fillId="46" borderId="59" xfId="0" applyFont="1" applyFill="1" applyBorder="1" applyAlignment="1">
      <alignment horizontal="center"/>
    </xf>
    <xf numFmtId="0" fontId="13" fillId="47" borderId="52" xfId="0" applyFont="1" applyFill="1" applyBorder="1" applyAlignment="1">
      <alignment horizontal="center"/>
    </xf>
    <xf numFmtId="0" fontId="13" fillId="47" borderId="53" xfId="0" applyFont="1" applyFill="1" applyBorder="1" applyAlignment="1">
      <alignment horizontal="center"/>
    </xf>
    <xf numFmtId="0" fontId="13" fillId="47" borderId="54" xfId="0" applyFont="1" applyFill="1" applyBorder="1" applyAlignment="1">
      <alignment horizontal="center"/>
    </xf>
    <xf numFmtId="0" fontId="13" fillId="40" borderId="52" xfId="0" applyFont="1" applyFill="1" applyBorder="1" applyAlignment="1">
      <alignment horizontal="center"/>
    </xf>
    <xf numFmtId="0" fontId="13" fillId="40" borderId="53" xfId="0" applyFont="1" applyFill="1" applyBorder="1" applyAlignment="1">
      <alignment horizontal="center"/>
    </xf>
    <xf numFmtId="0" fontId="13" fillId="40" borderId="54" xfId="0" applyFont="1" applyFill="1" applyBorder="1" applyAlignment="1">
      <alignment horizontal="center"/>
    </xf>
    <xf numFmtId="0" fontId="33" fillId="46" borderId="55" xfId="0" applyFont="1" applyFill="1" applyBorder="1" applyAlignment="1">
      <alignment horizontal="center"/>
    </xf>
    <xf numFmtId="0" fontId="32" fillId="46" borderId="56" xfId="0" applyFont="1" applyFill="1" applyBorder="1" applyAlignment="1">
      <alignment horizontal="center"/>
    </xf>
    <xf numFmtId="0" fontId="32" fillId="46" borderId="58" xfId="0" applyFont="1" applyFill="1" applyBorder="1" applyAlignment="1">
      <alignment horizontal="center"/>
    </xf>
    <xf numFmtId="0" fontId="32" fillId="46" borderId="59" xfId="0" applyFont="1" applyFill="1" applyBorder="1" applyAlignment="1">
      <alignment horizontal="center"/>
    </xf>
    <xf numFmtId="0" fontId="0" fillId="46" borderId="56" xfId="0" applyFill="1" applyBorder="1" applyAlignment="1">
      <alignment horizontal="center"/>
    </xf>
    <xf numFmtId="0" fontId="0" fillId="46" borderId="59" xfId="0" applyFill="1" applyBorder="1" applyAlignment="1">
      <alignment horizontal="center"/>
    </xf>
    <xf numFmtId="0" fontId="0" fillId="46" borderId="57" xfId="0" applyFill="1" applyBorder="1" applyAlignment="1">
      <alignment horizontal="center"/>
    </xf>
    <xf numFmtId="0" fontId="0" fillId="46" borderId="6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2CC"/>
      <color rgb="FFFFC000"/>
      <color rgb="FF784211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{"Frequency"}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histograms!$A$37:$A$44</c:f>
              <c:strCache>
                <c:ptCount val="8"/>
                <c:pt idx="0">
                  <c:v>0 – 2</c:v>
                </c:pt>
                <c:pt idx="1">
                  <c:v>2 – 4</c:v>
                </c:pt>
                <c:pt idx="2">
                  <c:v>4 – 6</c:v>
                </c:pt>
                <c:pt idx="3">
                  <c:v>6 – 8</c:v>
                </c:pt>
                <c:pt idx="4">
                  <c:v>8 – 10</c:v>
                </c:pt>
                <c:pt idx="5">
                  <c:v>10 – 12</c:v>
                </c:pt>
                <c:pt idx="6">
                  <c:v>12 – 14</c:v>
                </c:pt>
                <c:pt idx="7">
                  <c:v>14 – 16</c:v>
                </c:pt>
              </c:strCache>
            </c:strRef>
          </c:cat>
          <c:val>
            <c:numRef>
              <c:f>histograms!$B$37:$B$44</c:f>
              <c:numCache>
                <c:formatCode>General</c:formatCode>
                <c:ptCount val="8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7-4E37-9562-62BEE417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26563592"/>
        <c:axId val="1426565640"/>
      </c:barChart>
      <c:lineChart>
        <c:grouping val="standard"/>
        <c:varyColors val="0"/>
        <c:ser>
          <c:idx val="1"/>
          <c:order val="1"/>
          <c:tx>
            <c:strRef>
              <c:f>{"Chi Square"}</c:f>
              <c:strCache>
                <c:ptCount val="1"/>
                <c:pt idx="0">
                  <c:v>Chi Square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histograms!$A$37:$A$44</c:f>
              <c:strCache>
                <c:ptCount val="8"/>
                <c:pt idx="0">
                  <c:v>0 – 2</c:v>
                </c:pt>
                <c:pt idx="1">
                  <c:v>2 – 4</c:v>
                </c:pt>
                <c:pt idx="2">
                  <c:v>4 – 6</c:v>
                </c:pt>
                <c:pt idx="3">
                  <c:v>6 – 8</c:v>
                </c:pt>
                <c:pt idx="4">
                  <c:v>8 – 10</c:v>
                </c:pt>
                <c:pt idx="5">
                  <c:v>10 – 12</c:v>
                </c:pt>
                <c:pt idx="6">
                  <c:v>12 – 14</c:v>
                </c:pt>
                <c:pt idx="7">
                  <c:v>14 – 16</c:v>
                </c:pt>
              </c:strCache>
            </c:strRef>
          </c:cat>
          <c:val>
            <c:numRef>
              <c:f>histograms!C37:C44</c:f>
              <c:numCache>
                <c:formatCode>General</c:formatCode>
                <c:ptCount val="8"/>
                <c:pt idx="0">
                  <c:v>4.4839839999999999E-3</c:v>
                </c:pt>
                <c:pt idx="1">
                  <c:v>0.25693217200000001</c:v>
                </c:pt>
                <c:pt idx="2">
                  <c:v>5.1154011999999999E-2</c:v>
                </c:pt>
                <c:pt idx="3">
                  <c:v>0.24287017499999999</c:v>
                </c:pt>
                <c:pt idx="4">
                  <c:v>8.9187629000000004E-2</c:v>
                </c:pt>
                <c:pt idx="5">
                  <c:v>0.18394606199999999</c:v>
                </c:pt>
                <c:pt idx="6">
                  <c:v>2.7666090000000002E-3</c:v>
                </c:pt>
                <c:pt idx="7">
                  <c:v>0.28848563500000002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A7-4E37-9562-62BEE417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6563592"/>
        <c:axId val="1426565640"/>
      </c:lineChart>
      <c:catAx>
        <c:axId val="1426563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65640"/>
        <c:crosses val="autoZero"/>
        <c:auto val="1"/>
        <c:lblAlgn val="ctr"/>
        <c:lblOffset val="100"/>
        <c:noMultiLvlLbl val="0"/>
      </c:catAx>
      <c:valAx>
        <c:axId val="142656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63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histograms!$A$58:$A$66</c:f>
              <c:strCache>
                <c:ptCount val="9"/>
                <c:pt idx="0">
                  <c:v>0 to 2</c:v>
                </c:pt>
                <c:pt idx="1">
                  <c:v>2 to 4</c:v>
                </c:pt>
                <c:pt idx="2">
                  <c:v>4 to 6</c:v>
                </c:pt>
                <c:pt idx="3">
                  <c:v>6 to 8</c:v>
                </c:pt>
                <c:pt idx="4">
                  <c:v>8 to 10</c:v>
                </c:pt>
                <c:pt idx="5">
                  <c:v>10 to 12</c:v>
                </c:pt>
                <c:pt idx="6">
                  <c:v>12 TO 14</c:v>
                </c:pt>
                <c:pt idx="7">
                  <c:v>14 TO 16</c:v>
                </c:pt>
                <c:pt idx="8">
                  <c:v>16 TO 18</c:v>
                </c:pt>
              </c:strCache>
            </c:strRef>
          </c:cat>
          <c:val>
            <c:numRef>
              <c:f>histograms!$B$58:$B$66</c:f>
              <c:numCache>
                <c:formatCode>0.00</c:formatCode>
                <c:ptCount val="9"/>
                <c:pt idx="0">
                  <c:v>77</c:v>
                </c:pt>
                <c:pt idx="1">
                  <c:v>40</c:v>
                </c:pt>
                <c:pt idx="2">
                  <c:v>23</c:v>
                </c:pt>
                <c:pt idx="3">
                  <c:v>13</c:v>
                </c:pt>
                <c:pt idx="4">
                  <c:v>9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9-495A-8CCD-843FA3FC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50311687"/>
        <c:axId val="609113095"/>
      </c:barChart>
      <c:lineChart>
        <c:grouping val="standard"/>
        <c:varyColors val="0"/>
        <c:ser>
          <c:idx val="1"/>
          <c:order val="1"/>
          <c:tx>
            <c:v>Chi Square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histograms!$A$58:$A$66</c:f>
              <c:strCache>
                <c:ptCount val="9"/>
                <c:pt idx="0">
                  <c:v>0 to 2</c:v>
                </c:pt>
                <c:pt idx="1">
                  <c:v>2 to 4</c:v>
                </c:pt>
                <c:pt idx="2">
                  <c:v>4 to 6</c:v>
                </c:pt>
                <c:pt idx="3">
                  <c:v>6 to 8</c:v>
                </c:pt>
                <c:pt idx="4">
                  <c:v>8 to 10</c:v>
                </c:pt>
                <c:pt idx="5">
                  <c:v>10 to 12</c:v>
                </c:pt>
                <c:pt idx="6">
                  <c:v>12 TO 14</c:v>
                </c:pt>
                <c:pt idx="7">
                  <c:v>14 TO 16</c:v>
                </c:pt>
                <c:pt idx="8">
                  <c:v>16 TO 18</c:v>
                </c:pt>
              </c:strCache>
            </c:strRef>
          </c:cat>
          <c:val>
            <c:numRef>
              <c:f>histograms!C58:C66</c:f>
              <c:numCache>
                <c:formatCode>General</c:formatCode>
                <c:ptCount val="9"/>
                <c:pt idx="0">
                  <c:v>0.91189482399999999</c:v>
                </c:pt>
                <c:pt idx="1">
                  <c:v>5.3700240000000003E-2</c:v>
                </c:pt>
                <c:pt idx="2">
                  <c:v>0.14915062900000001</c:v>
                </c:pt>
                <c:pt idx="3">
                  <c:v>0.26085155399999999</c:v>
                </c:pt>
                <c:pt idx="4" formatCode="0.00E+00">
                  <c:v>5.9658299999999999E-7</c:v>
                </c:pt>
                <c:pt idx="5">
                  <c:v>6.5341658999999996E-2</c:v>
                </c:pt>
                <c:pt idx="6">
                  <c:v>0.17428627199999999</c:v>
                </c:pt>
                <c:pt idx="7">
                  <c:v>0.46366489</c:v>
                </c:pt>
                <c:pt idx="8">
                  <c:v>2.5302306E-2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59-495A-8CCD-843FA3FC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0311687"/>
        <c:axId val="609113095"/>
      </c:lineChart>
      <c:catAx>
        <c:axId val="1050311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13095"/>
        <c:crosses val="autoZero"/>
        <c:auto val="1"/>
        <c:lblAlgn val="ctr"/>
        <c:lblOffset val="100"/>
        <c:noMultiLvlLbl val="0"/>
      </c:catAx>
      <c:valAx>
        <c:axId val="60911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31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histograms!$B$4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histograms!$A$5:$A$10</c:f>
              <c:strCache>
                <c:ptCount val="6"/>
                <c:pt idx="0">
                  <c:v>0–2</c:v>
                </c:pt>
                <c:pt idx="1">
                  <c:v>2–4</c:v>
                </c:pt>
                <c:pt idx="2">
                  <c:v>4–6</c:v>
                </c:pt>
                <c:pt idx="3">
                  <c:v>6–8</c:v>
                </c:pt>
                <c:pt idx="4">
                  <c:v>8–10</c:v>
                </c:pt>
                <c:pt idx="5">
                  <c:v>10–12</c:v>
                </c:pt>
              </c:strCache>
            </c:strRef>
          </c:cat>
          <c:val>
            <c:numRef>
              <c:f>histograms!$B$5:$B$10</c:f>
              <c:numCache>
                <c:formatCode>General</c:formatCode>
                <c:ptCount val="6"/>
                <c:pt idx="0">
                  <c:v>19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8-4F7C-8CFA-563291410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8227079"/>
        <c:axId val="588229639"/>
      </c:barChart>
      <c:lineChart>
        <c:grouping val="standard"/>
        <c:varyColors val="0"/>
        <c:ser>
          <c:idx val="1"/>
          <c:order val="1"/>
          <c:tx>
            <c:v>Chi Square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histograms!$A$5:$A$10</c:f>
              <c:strCache>
                <c:ptCount val="6"/>
                <c:pt idx="0">
                  <c:v>0–2</c:v>
                </c:pt>
                <c:pt idx="1">
                  <c:v>2–4</c:v>
                </c:pt>
                <c:pt idx="2">
                  <c:v>4–6</c:v>
                </c:pt>
                <c:pt idx="3">
                  <c:v>6–8</c:v>
                </c:pt>
                <c:pt idx="4">
                  <c:v>8–10</c:v>
                </c:pt>
                <c:pt idx="5">
                  <c:v>10–12</c:v>
                </c:pt>
              </c:strCache>
            </c:strRef>
          </c:cat>
          <c:val>
            <c:numRef>
              <c:f>histograms!C5:C10</c:f>
              <c:numCache>
                <c:formatCode>General</c:formatCode>
                <c:ptCount val="6"/>
                <c:pt idx="0">
                  <c:v>6.2562966999999997E-2</c:v>
                </c:pt>
                <c:pt idx="1">
                  <c:v>3.6819070000000002E-2</c:v>
                </c:pt>
                <c:pt idx="2">
                  <c:v>1.3646035000000001E-2</c:v>
                </c:pt>
                <c:pt idx="3">
                  <c:v>0.80033375799999995</c:v>
                </c:pt>
                <c:pt idx="4">
                  <c:v>3.5328448620000001</c:v>
                </c:pt>
                <c:pt idx="5">
                  <c:v>0.36694950700000001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D8-4F7C-8CFA-563291410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227079"/>
        <c:axId val="588229639"/>
      </c:lineChart>
      <c:catAx>
        <c:axId val="588227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29639"/>
        <c:crosses val="autoZero"/>
        <c:auto val="1"/>
        <c:lblAlgn val="ctr"/>
        <c:lblOffset val="100"/>
        <c:noMultiLvlLbl val="0"/>
      </c:catAx>
      <c:valAx>
        <c:axId val="588229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2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{"Frequency"}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histograms!$A$20:$A$28</c:f>
              <c:strCache>
                <c:ptCount val="9"/>
                <c:pt idx="0">
                  <c:v>0 – 2</c:v>
                </c:pt>
                <c:pt idx="1">
                  <c:v>2 – 4</c:v>
                </c:pt>
                <c:pt idx="2">
                  <c:v>4 – 6</c:v>
                </c:pt>
                <c:pt idx="3">
                  <c:v>6 – 8</c:v>
                </c:pt>
                <c:pt idx="4">
                  <c:v>8 – 10</c:v>
                </c:pt>
                <c:pt idx="5">
                  <c:v>10 – 12</c:v>
                </c:pt>
                <c:pt idx="6">
                  <c:v>12 – 14</c:v>
                </c:pt>
                <c:pt idx="7">
                  <c:v>14 – 16</c:v>
                </c:pt>
                <c:pt idx="8">
                  <c:v>16 – 18</c:v>
                </c:pt>
              </c:strCache>
            </c:strRef>
          </c:cat>
          <c:val>
            <c:numRef>
              <c:f>histograms!$B$20:$B$28</c:f>
              <c:numCache>
                <c:formatCode>General</c:formatCode>
                <c:ptCount val="9"/>
                <c:pt idx="0">
                  <c:v>40</c:v>
                </c:pt>
                <c:pt idx="1">
                  <c:v>18</c:v>
                </c:pt>
                <c:pt idx="2">
                  <c:v>10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B-4C5B-9FE8-70B46763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33595655"/>
        <c:axId val="533597703"/>
      </c:barChart>
      <c:lineChart>
        <c:grouping val="standard"/>
        <c:varyColors val="0"/>
        <c:ser>
          <c:idx val="1"/>
          <c:order val="1"/>
          <c:tx>
            <c:strRef>
              <c:f>{"Chi Square"}</c:f>
              <c:strCache>
                <c:ptCount val="1"/>
                <c:pt idx="0">
                  <c:v>Chi Square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histograms!$A$20:$A$28</c:f>
              <c:strCache>
                <c:ptCount val="9"/>
                <c:pt idx="0">
                  <c:v>0 – 2</c:v>
                </c:pt>
                <c:pt idx="1">
                  <c:v>2 – 4</c:v>
                </c:pt>
                <c:pt idx="2">
                  <c:v>4 – 6</c:v>
                </c:pt>
                <c:pt idx="3">
                  <c:v>6 – 8</c:v>
                </c:pt>
                <c:pt idx="4">
                  <c:v>8 – 10</c:v>
                </c:pt>
                <c:pt idx="5">
                  <c:v>10 – 12</c:v>
                </c:pt>
                <c:pt idx="6">
                  <c:v>12 – 14</c:v>
                </c:pt>
                <c:pt idx="7">
                  <c:v>14 – 16</c:v>
                </c:pt>
                <c:pt idx="8">
                  <c:v>16 – 18</c:v>
                </c:pt>
              </c:strCache>
            </c:strRef>
          </c:cat>
          <c:val>
            <c:numRef>
              <c:f>histograms!C20:C28</c:f>
              <c:numCache>
                <c:formatCode>General</c:formatCode>
                <c:ptCount val="9"/>
                <c:pt idx="0">
                  <c:v>1.0032205300000001</c:v>
                </c:pt>
                <c:pt idx="1">
                  <c:v>0.25333578200000001</c:v>
                </c:pt>
                <c:pt idx="2">
                  <c:v>0.341788127</c:v>
                </c:pt>
                <c:pt idx="3">
                  <c:v>2.6751370000000002E-3</c:v>
                </c:pt>
                <c:pt idx="4">
                  <c:v>1.1806171029999999</c:v>
                </c:pt>
                <c:pt idx="5">
                  <c:v>9.3839904000000002E-2</c:v>
                </c:pt>
                <c:pt idx="6">
                  <c:v>1.523609013</c:v>
                </c:pt>
                <c:pt idx="7">
                  <c:v>0.885593085</c:v>
                </c:pt>
                <c:pt idx="8">
                  <c:v>0.42821784699999998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0B-4C5B-9FE8-70B467634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595655"/>
        <c:axId val="533597703"/>
      </c:lineChart>
      <c:catAx>
        <c:axId val="53359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97703"/>
        <c:crosses val="autoZero"/>
        <c:auto val="1"/>
        <c:lblAlgn val="ctr"/>
        <c:lblOffset val="100"/>
        <c:noMultiLvlLbl val="0"/>
      </c:catAx>
      <c:valAx>
        <c:axId val="533597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9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layout>
        <c:manualLayout>
          <c:xMode val="edge"/>
          <c:yMode val="edge"/>
          <c:x val="0.39600436142414841"/>
          <c:y val="5.24064171122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{"Frequency"}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histograms!$A$74:$A$83</c:f>
              <c:strCache>
                <c:ptCount val="10"/>
                <c:pt idx="0">
                  <c:v>0 to 2</c:v>
                </c:pt>
                <c:pt idx="1">
                  <c:v>2 to 4</c:v>
                </c:pt>
                <c:pt idx="2">
                  <c:v>4 to 6</c:v>
                </c:pt>
                <c:pt idx="3">
                  <c:v>6 to 8</c:v>
                </c:pt>
                <c:pt idx="4">
                  <c:v>8 to 10</c:v>
                </c:pt>
                <c:pt idx="5">
                  <c:v>10 to 12</c:v>
                </c:pt>
                <c:pt idx="6">
                  <c:v>12 to 14</c:v>
                </c:pt>
                <c:pt idx="7">
                  <c:v>14 to16</c:v>
                </c:pt>
                <c:pt idx="8">
                  <c:v>16 to 18</c:v>
                </c:pt>
                <c:pt idx="9">
                  <c:v>18 TO 20</c:v>
                </c:pt>
              </c:strCache>
            </c:strRef>
          </c:cat>
          <c:val>
            <c:numRef>
              <c:f>histograms!$B$74:$B$83</c:f>
              <c:numCache>
                <c:formatCode>0.00</c:formatCode>
                <c:ptCount val="10"/>
                <c:pt idx="0">
                  <c:v>78</c:v>
                </c:pt>
                <c:pt idx="1">
                  <c:v>36</c:v>
                </c:pt>
                <c:pt idx="2">
                  <c:v>18</c:v>
                </c:pt>
                <c:pt idx="3">
                  <c:v>15</c:v>
                </c:pt>
                <c:pt idx="4">
                  <c:v>12</c:v>
                </c:pt>
                <c:pt idx="5">
                  <c:v>7</c:v>
                </c:pt>
                <c:pt idx="6">
                  <c:v>2</c:v>
                </c:pt>
                <c:pt idx="7">
                  <c:v>3</c:v>
                </c:pt>
                <c:pt idx="8" formatCode="General">
                  <c:v>0</c:v>
                </c:pt>
                <c:pt idx="9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4-480A-B02F-E59D97948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586695688"/>
        <c:axId val="586697736"/>
      </c:barChart>
      <c:lineChart>
        <c:grouping val="standard"/>
        <c:varyColors val="0"/>
        <c:ser>
          <c:idx val="1"/>
          <c:order val="1"/>
          <c:tx>
            <c:strRef>
              <c:f>{"Chi Square"}</c:f>
              <c:strCache>
                <c:ptCount val="1"/>
                <c:pt idx="0">
                  <c:v>Chi Square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histograms!$A$74:$A$83</c:f>
              <c:strCache>
                <c:ptCount val="10"/>
                <c:pt idx="0">
                  <c:v>0 to 2</c:v>
                </c:pt>
                <c:pt idx="1">
                  <c:v>2 to 4</c:v>
                </c:pt>
                <c:pt idx="2">
                  <c:v>4 to 6</c:v>
                </c:pt>
                <c:pt idx="3">
                  <c:v>6 to 8</c:v>
                </c:pt>
                <c:pt idx="4">
                  <c:v>8 to 10</c:v>
                </c:pt>
                <c:pt idx="5">
                  <c:v>10 to 12</c:v>
                </c:pt>
                <c:pt idx="6">
                  <c:v>12 to 14</c:v>
                </c:pt>
                <c:pt idx="7">
                  <c:v>14 to16</c:v>
                </c:pt>
                <c:pt idx="8">
                  <c:v>16 to 18</c:v>
                </c:pt>
                <c:pt idx="9">
                  <c:v>18 TO 20</c:v>
                </c:pt>
              </c:strCache>
            </c:strRef>
          </c:cat>
          <c:val>
            <c:numRef>
              <c:f>histograms!C74:C83</c:f>
              <c:numCache>
                <c:formatCode>General</c:formatCode>
                <c:ptCount val="10"/>
                <c:pt idx="0">
                  <c:v>2.0243433209999999</c:v>
                </c:pt>
                <c:pt idx="1">
                  <c:v>0.59065165200000003</c:v>
                </c:pt>
                <c:pt idx="2">
                  <c:v>2.0622784599999999</c:v>
                </c:pt>
                <c:pt idx="3">
                  <c:v>1.8322413999999999E-2</c:v>
                </c:pt>
                <c:pt idx="4" formatCode="0.00E+00">
                  <c:v>0.61645466999999998</c:v>
                </c:pt>
                <c:pt idx="5">
                  <c:v>0.20623370799999999</c:v>
                </c:pt>
                <c:pt idx="6">
                  <c:v>0.734411072</c:v>
                </c:pt>
                <c:pt idx="7">
                  <c:v>0.258788831</c:v>
                </c:pt>
                <c:pt idx="8">
                  <c:v>1.3794581749999999</c:v>
                </c:pt>
                <c:pt idx="9">
                  <c:v>1.556082009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64-480A-B02F-E59D97948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695688"/>
        <c:axId val="586697736"/>
      </c:lineChart>
      <c:catAx>
        <c:axId val="586695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97736"/>
        <c:crosses val="autoZero"/>
        <c:auto val="1"/>
        <c:lblAlgn val="ctr"/>
        <c:lblOffset val="100"/>
        <c:noMultiLvlLbl val="0"/>
      </c:catAx>
      <c:valAx>
        <c:axId val="58669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95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Constantia"/>
                <a:ea typeface="Constantia"/>
                <a:cs typeface="Constantia"/>
              </a:defRPr>
            </a:pPr>
            <a:r>
              <a:rPr lang="en-US"/>
              <a:t>Service PPlot - Theoretical vs. Empirical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Constantia"/>
              <a:ea typeface="Constantia"/>
              <a:cs typeface="Constanti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Sorted Data vs. Theoretical</c:v>
          </c:tx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3008C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'PPlot-Service'!C3:C176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12</c:v>
                </c:pt>
                <c:pt idx="167">
                  <c:v>12</c:v>
                </c:pt>
                <c:pt idx="168">
                  <c:v>13</c:v>
                </c:pt>
                <c:pt idx="169">
                  <c:v>13</c:v>
                </c:pt>
                <c:pt idx="170">
                  <c:v>14</c:v>
                </c:pt>
                <c:pt idx="171">
                  <c:v>14</c:v>
                </c:pt>
                <c:pt idx="172">
                  <c:v>15</c:v>
                </c:pt>
                <c:pt idx="173">
                  <c:v>18</c:v>
                </c:pt>
              </c:numCache>
            </c:numRef>
          </c:xVal>
          <c:yVal>
            <c:numRef>
              <c:f>'PPlot-Service'!E3:E176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0.22508350203891903</c:v>
                </c:pt>
                <c:pt idx="24">
                  <c:v>0.22508350203891903</c:v>
                </c:pt>
                <c:pt idx="25">
                  <c:v>0.22508350203891903</c:v>
                </c:pt>
                <c:pt idx="26">
                  <c:v>0.22508350203891903</c:v>
                </c:pt>
                <c:pt idx="27">
                  <c:v>0.22508350203891903</c:v>
                </c:pt>
                <c:pt idx="28">
                  <c:v>0.22508350203891903</c:v>
                </c:pt>
                <c:pt idx="29">
                  <c:v>0.22508350203891903</c:v>
                </c:pt>
                <c:pt idx="30">
                  <c:v>0.22508350203891903</c:v>
                </c:pt>
                <c:pt idx="31">
                  <c:v>0.22508350203891903</c:v>
                </c:pt>
                <c:pt idx="32">
                  <c:v>0.22508350203891903</c:v>
                </c:pt>
                <c:pt idx="33">
                  <c:v>0.22508350203891903</c:v>
                </c:pt>
                <c:pt idx="34">
                  <c:v>0.22508350203891903</c:v>
                </c:pt>
                <c:pt idx="35">
                  <c:v>0.22508350203891903</c:v>
                </c:pt>
                <c:pt idx="36">
                  <c:v>0.22508350203891903</c:v>
                </c:pt>
                <c:pt idx="37">
                  <c:v>0.22508350203891903</c:v>
                </c:pt>
                <c:pt idx="38">
                  <c:v>0.22508350203891903</c:v>
                </c:pt>
                <c:pt idx="39">
                  <c:v>0.22508350203891903</c:v>
                </c:pt>
                <c:pt idx="40">
                  <c:v>0.22508350203891903</c:v>
                </c:pt>
                <c:pt idx="41">
                  <c:v>0.22508350203891903</c:v>
                </c:pt>
                <c:pt idx="42">
                  <c:v>0.22508350203891903</c:v>
                </c:pt>
                <c:pt idx="43">
                  <c:v>0.22508350203891903</c:v>
                </c:pt>
                <c:pt idx="44">
                  <c:v>0.22508350203891903</c:v>
                </c:pt>
                <c:pt idx="45">
                  <c:v>0.22508350203891903</c:v>
                </c:pt>
                <c:pt idx="46">
                  <c:v>0.22508350203891903</c:v>
                </c:pt>
                <c:pt idx="47">
                  <c:v>0.22508350203891903</c:v>
                </c:pt>
                <c:pt idx="48">
                  <c:v>0.22508350203891903</c:v>
                </c:pt>
                <c:pt idx="49">
                  <c:v>0.22508350203891903</c:v>
                </c:pt>
                <c:pt idx="50">
                  <c:v>0.3995044211877341</c:v>
                </c:pt>
                <c:pt idx="51">
                  <c:v>0.3995044211877341</c:v>
                </c:pt>
                <c:pt idx="52">
                  <c:v>0.3995044211877341</c:v>
                </c:pt>
                <c:pt idx="53">
                  <c:v>0.3995044211877341</c:v>
                </c:pt>
                <c:pt idx="54">
                  <c:v>0.3995044211877341</c:v>
                </c:pt>
                <c:pt idx="55">
                  <c:v>0.3995044211877341</c:v>
                </c:pt>
                <c:pt idx="56">
                  <c:v>0.3995044211877341</c:v>
                </c:pt>
                <c:pt idx="57">
                  <c:v>0.3995044211877341</c:v>
                </c:pt>
                <c:pt idx="58">
                  <c:v>0.3995044211877341</c:v>
                </c:pt>
                <c:pt idx="59">
                  <c:v>0.3995044211877341</c:v>
                </c:pt>
                <c:pt idx="60">
                  <c:v>0.3995044211877341</c:v>
                </c:pt>
                <c:pt idx="61">
                  <c:v>0.3995044211877341</c:v>
                </c:pt>
                <c:pt idx="62">
                  <c:v>0.3995044211877341</c:v>
                </c:pt>
                <c:pt idx="63">
                  <c:v>0.3995044211877341</c:v>
                </c:pt>
                <c:pt idx="64">
                  <c:v>0.3995044211877341</c:v>
                </c:pt>
                <c:pt idx="65">
                  <c:v>0.3995044211877341</c:v>
                </c:pt>
                <c:pt idx="66">
                  <c:v>0.3995044211877341</c:v>
                </c:pt>
                <c:pt idx="67">
                  <c:v>0.3995044211877341</c:v>
                </c:pt>
                <c:pt idx="68">
                  <c:v>0.3995044211877341</c:v>
                </c:pt>
                <c:pt idx="69">
                  <c:v>0.3995044211877341</c:v>
                </c:pt>
                <c:pt idx="70">
                  <c:v>0.3995044211877341</c:v>
                </c:pt>
                <c:pt idx="71">
                  <c:v>0.3995044211877341</c:v>
                </c:pt>
                <c:pt idx="72">
                  <c:v>0.3995044211877341</c:v>
                </c:pt>
                <c:pt idx="73">
                  <c:v>0.3995044211877341</c:v>
                </c:pt>
                <c:pt idx="74">
                  <c:v>0.3995044211877341</c:v>
                </c:pt>
                <c:pt idx="75">
                  <c:v>0.3995044211877341</c:v>
                </c:pt>
                <c:pt idx="76">
                  <c:v>0.3995044211877341</c:v>
                </c:pt>
                <c:pt idx="77">
                  <c:v>0.53466606902568659</c:v>
                </c:pt>
                <c:pt idx="78">
                  <c:v>0.53466606902568659</c:v>
                </c:pt>
                <c:pt idx="79">
                  <c:v>0.53466606902568659</c:v>
                </c:pt>
                <c:pt idx="80">
                  <c:v>0.53466606902568659</c:v>
                </c:pt>
                <c:pt idx="81">
                  <c:v>0.53466606902568659</c:v>
                </c:pt>
                <c:pt idx="82">
                  <c:v>0.53466606902568659</c:v>
                </c:pt>
                <c:pt idx="83">
                  <c:v>0.53466606902568659</c:v>
                </c:pt>
                <c:pt idx="84">
                  <c:v>0.53466606902568659</c:v>
                </c:pt>
                <c:pt idx="85">
                  <c:v>0.53466606902568659</c:v>
                </c:pt>
                <c:pt idx="86">
                  <c:v>0.53466606902568659</c:v>
                </c:pt>
                <c:pt idx="87">
                  <c:v>0.53466606902568659</c:v>
                </c:pt>
                <c:pt idx="88">
                  <c:v>0.53466606902568659</c:v>
                </c:pt>
                <c:pt idx="89">
                  <c:v>0.53466606902568659</c:v>
                </c:pt>
                <c:pt idx="90">
                  <c:v>0.53466606902568659</c:v>
                </c:pt>
                <c:pt idx="91">
                  <c:v>0.53466606902568659</c:v>
                </c:pt>
                <c:pt idx="92">
                  <c:v>0.53466606902568659</c:v>
                </c:pt>
                <c:pt idx="93">
                  <c:v>0.53466606902568659</c:v>
                </c:pt>
                <c:pt idx="94">
                  <c:v>0.53466606902568659</c:v>
                </c:pt>
                <c:pt idx="95">
                  <c:v>0.53466606902568659</c:v>
                </c:pt>
                <c:pt idx="96">
                  <c:v>0.53466606902568659</c:v>
                </c:pt>
                <c:pt idx="97">
                  <c:v>0.53466606902568659</c:v>
                </c:pt>
                <c:pt idx="98">
                  <c:v>0.63940505982692164</c:v>
                </c:pt>
                <c:pt idx="99">
                  <c:v>0.63940505982692164</c:v>
                </c:pt>
                <c:pt idx="100">
                  <c:v>0.63940505982692164</c:v>
                </c:pt>
                <c:pt idx="101">
                  <c:v>0.63940505982692164</c:v>
                </c:pt>
                <c:pt idx="102">
                  <c:v>0.63940505982692164</c:v>
                </c:pt>
                <c:pt idx="103">
                  <c:v>0.63940505982692164</c:v>
                </c:pt>
                <c:pt idx="104">
                  <c:v>0.63940505982692164</c:v>
                </c:pt>
                <c:pt idx="105">
                  <c:v>0.63940505982692164</c:v>
                </c:pt>
                <c:pt idx="106">
                  <c:v>0.63940505982692164</c:v>
                </c:pt>
                <c:pt idx="107">
                  <c:v>0.63940505982692164</c:v>
                </c:pt>
                <c:pt idx="108">
                  <c:v>0.63940505982692164</c:v>
                </c:pt>
                <c:pt idx="109">
                  <c:v>0.63940505982692164</c:v>
                </c:pt>
                <c:pt idx="110">
                  <c:v>0.63940505982692164</c:v>
                </c:pt>
                <c:pt idx="111">
                  <c:v>0.63940505982692164</c:v>
                </c:pt>
                <c:pt idx="112">
                  <c:v>0.63940505982692164</c:v>
                </c:pt>
                <c:pt idx="113">
                  <c:v>0.63940505982692164</c:v>
                </c:pt>
                <c:pt idx="114">
                  <c:v>0.63940505982692164</c:v>
                </c:pt>
                <c:pt idx="115">
                  <c:v>0.63940505982692164</c:v>
                </c:pt>
                <c:pt idx="116">
                  <c:v>0.63940505982692164</c:v>
                </c:pt>
                <c:pt idx="117">
                  <c:v>0.72056903177859266</c:v>
                </c:pt>
                <c:pt idx="118">
                  <c:v>0.72056903177859266</c:v>
                </c:pt>
                <c:pt idx="119">
                  <c:v>0.72056903177859266</c:v>
                </c:pt>
                <c:pt idx="120">
                  <c:v>0.72056903177859266</c:v>
                </c:pt>
                <c:pt idx="121">
                  <c:v>0.72056903177859266</c:v>
                </c:pt>
                <c:pt idx="122">
                  <c:v>0.72056903177859266</c:v>
                </c:pt>
                <c:pt idx="123">
                  <c:v>0.72056903177859266</c:v>
                </c:pt>
                <c:pt idx="124">
                  <c:v>0.72056903177859266</c:v>
                </c:pt>
                <c:pt idx="125">
                  <c:v>0.72056903177859266</c:v>
                </c:pt>
                <c:pt idx="126">
                  <c:v>0.72056903177859266</c:v>
                </c:pt>
                <c:pt idx="127">
                  <c:v>0.72056903177859266</c:v>
                </c:pt>
                <c:pt idx="128">
                  <c:v>0.72056903177859266</c:v>
                </c:pt>
                <c:pt idx="129">
                  <c:v>0.72056903177859266</c:v>
                </c:pt>
                <c:pt idx="130">
                  <c:v>0.72056903177859266</c:v>
                </c:pt>
                <c:pt idx="131">
                  <c:v>0.78346433268399296</c:v>
                </c:pt>
                <c:pt idx="132">
                  <c:v>0.78346433268399296</c:v>
                </c:pt>
                <c:pt idx="133">
                  <c:v>0.78346433268399296</c:v>
                </c:pt>
                <c:pt idx="134">
                  <c:v>0.78346433268399296</c:v>
                </c:pt>
                <c:pt idx="135">
                  <c:v>0.78346433268399296</c:v>
                </c:pt>
                <c:pt idx="136">
                  <c:v>0.78346433268399296</c:v>
                </c:pt>
                <c:pt idx="137">
                  <c:v>0.78346433268399296</c:v>
                </c:pt>
                <c:pt idx="138">
                  <c:v>0.78346433268399296</c:v>
                </c:pt>
                <c:pt idx="139">
                  <c:v>0.78346433268399296</c:v>
                </c:pt>
                <c:pt idx="140">
                  <c:v>0.83220293899981412</c:v>
                </c:pt>
                <c:pt idx="141">
                  <c:v>0.83220293899981412</c:v>
                </c:pt>
                <c:pt idx="142">
                  <c:v>0.83220293899981412</c:v>
                </c:pt>
                <c:pt idx="143">
                  <c:v>0.83220293899981412</c:v>
                </c:pt>
                <c:pt idx="144">
                  <c:v>0.83220293899981412</c:v>
                </c:pt>
                <c:pt idx="145">
                  <c:v>0.86997128912157407</c:v>
                </c:pt>
                <c:pt idx="146">
                  <c:v>0.86997128912157407</c:v>
                </c:pt>
                <c:pt idx="147">
                  <c:v>0.86997128912157407</c:v>
                </c:pt>
                <c:pt idx="148">
                  <c:v>0.86997128912157407</c:v>
                </c:pt>
                <c:pt idx="149">
                  <c:v>0.86997128912157407</c:v>
                </c:pt>
                <c:pt idx="150">
                  <c:v>0.86997128912157407</c:v>
                </c:pt>
                <c:pt idx="151">
                  <c:v>0.86997128912157407</c:v>
                </c:pt>
                <c:pt idx="152">
                  <c:v>0.86997128912157407</c:v>
                </c:pt>
                <c:pt idx="153">
                  <c:v>0.89923860673169631</c:v>
                </c:pt>
                <c:pt idx="154">
                  <c:v>0.89923860673169631</c:v>
                </c:pt>
                <c:pt idx="155">
                  <c:v>0.89923860673169631</c:v>
                </c:pt>
                <c:pt idx="156">
                  <c:v>0.89923860673169631</c:v>
                </c:pt>
                <c:pt idx="157">
                  <c:v>0.89923860673169631</c:v>
                </c:pt>
                <c:pt idx="158">
                  <c:v>0.92191833399884682</c:v>
                </c:pt>
                <c:pt idx="159">
                  <c:v>0.92191833399884682</c:v>
                </c:pt>
                <c:pt idx="160">
                  <c:v>0.92191833399884682</c:v>
                </c:pt>
                <c:pt idx="161">
                  <c:v>0.92191833399884682</c:v>
                </c:pt>
                <c:pt idx="162">
                  <c:v>0.93949322882741959</c:v>
                </c:pt>
                <c:pt idx="163">
                  <c:v>0.93949322882741959</c:v>
                </c:pt>
                <c:pt idx="164">
                  <c:v>0.93949322882741959</c:v>
                </c:pt>
                <c:pt idx="165">
                  <c:v>0.93949322882741959</c:v>
                </c:pt>
                <c:pt idx="166">
                  <c:v>0.95311230478001152</c:v>
                </c:pt>
                <c:pt idx="167">
                  <c:v>0.95311230478001152</c:v>
                </c:pt>
                <c:pt idx="168">
                  <c:v>0.96366595142265998</c:v>
                </c:pt>
                <c:pt idx="169">
                  <c:v>0.96366595142265998</c:v>
                </c:pt>
                <c:pt idx="170">
                  <c:v>0.97184414631969995</c:v>
                </c:pt>
                <c:pt idx="171">
                  <c:v>0.97184414631969995</c:v>
                </c:pt>
                <c:pt idx="172">
                  <c:v>0.97818156446895721</c:v>
                </c:pt>
                <c:pt idx="173">
                  <c:v>0.98984714162663023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49-4A88-99F0-536476BC8A29}"/>
            </c:ext>
          </c:extLst>
        </c:ser>
        <c:ser>
          <c:idx val="0"/>
          <c:order val="1"/>
          <c:tx>
            <c:v>Theoretical vs. Empirical</c:v>
          </c:tx>
          <c:spPr>
            <a:ln w="19050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9BC2E6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'PPlot-Service'!E3:E176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0.22508350203891903</c:v>
                </c:pt>
                <c:pt idx="24">
                  <c:v>0.22508350203891903</c:v>
                </c:pt>
                <c:pt idx="25">
                  <c:v>0.22508350203891903</c:v>
                </c:pt>
                <c:pt idx="26">
                  <c:v>0.22508350203891903</c:v>
                </c:pt>
                <c:pt idx="27">
                  <c:v>0.22508350203891903</c:v>
                </c:pt>
                <c:pt idx="28">
                  <c:v>0.22508350203891903</c:v>
                </c:pt>
                <c:pt idx="29">
                  <c:v>0.22508350203891903</c:v>
                </c:pt>
                <c:pt idx="30">
                  <c:v>0.22508350203891903</c:v>
                </c:pt>
                <c:pt idx="31">
                  <c:v>0.22508350203891903</c:v>
                </c:pt>
                <c:pt idx="32">
                  <c:v>0.22508350203891903</c:v>
                </c:pt>
                <c:pt idx="33">
                  <c:v>0.22508350203891903</c:v>
                </c:pt>
                <c:pt idx="34">
                  <c:v>0.22508350203891903</c:v>
                </c:pt>
                <c:pt idx="35">
                  <c:v>0.22508350203891903</c:v>
                </c:pt>
                <c:pt idx="36">
                  <c:v>0.22508350203891903</c:v>
                </c:pt>
                <c:pt idx="37">
                  <c:v>0.22508350203891903</c:v>
                </c:pt>
                <c:pt idx="38">
                  <c:v>0.22508350203891903</c:v>
                </c:pt>
                <c:pt idx="39">
                  <c:v>0.22508350203891903</c:v>
                </c:pt>
                <c:pt idx="40">
                  <c:v>0.22508350203891903</c:v>
                </c:pt>
                <c:pt idx="41">
                  <c:v>0.22508350203891903</c:v>
                </c:pt>
                <c:pt idx="42">
                  <c:v>0.22508350203891903</c:v>
                </c:pt>
                <c:pt idx="43">
                  <c:v>0.22508350203891903</c:v>
                </c:pt>
                <c:pt idx="44">
                  <c:v>0.22508350203891903</c:v>
                </c:pt>
                <c:pt idx="45">
                  <c:v>0.22508350203891903</c:v>
                </c:pt>
                <c:pt idx="46">
                  <c:v>0.22508350203891903</c:v>
                </c:pt>
                <c:pt idx="47">
                  <c:v>0.22508350203891903</c:v>
                </c:pt>
                <c:pt idx="48">
                  <c:v>0.22508350203891903</c:v>
                </c:pt>
                <c:pt idx="49">
                  <c:v>0.22508350203891903</c:v>
                </c:pt>
                <c:pt idx="50">
                  <c:v>0.3995044211877341</c:v>
                </c:pt>
                <c:pt idx="51">
                  <c:v>0.3995044211877341</c:v>
                </c:pt>
                <c:pt idx="52">
                  <c:v>0.3995044211877341</c:v>
                </c:pt>
                <c:pt idx="53">
                  <c:v>0.3995044211877341</c:v>
                </c:pt>
                <c:pt idx="54">
                  <c:v>0.3995044211877341</c:v>
                </c:pt>
                <c:pt idx="55">
                  <c:v>0.3995044211877341</c:v>
                </c:pt>
                <c:pt idx="56">
                  <c:v>0.3995044211877341</c:v>
                </c:pt>
                <c:pt idx="57">
                  <c:v>0.3995044211877341</c:v>
                </c:pt>
                <c:pt idx="58">
                  <c:v>0.3995044211877341</c:v>
                </c:pt>
                <c:pt idx="59">
                  <c:v>0.3995044211877341</c:v>
                </c:pt>
                <c:pt idx="60">
                  <c:v>0.3995044211877341</c:v>
                </c:pt>
                <c:pt idx="61">
                  <c:v>0.3995044211877341</c:v>
                </c:pt>
                <c:pt idx="62">
                  <c:v>0.3995044211877341</c:v>
                </c:pt>
                <c:pt idx="63">
                  <c:v>0.3995044211877341</c:v>
                </c:pt>
                <c:pt idx="64">
                  <c:v>0.3995044211877341</c:v>
                </c:pt>
                <c:pt idx="65">
                  <c:v>0.3995044211877341</c:v>
                </c:pt>
                <c:pt idx="66">
                  <c:v>0.3995044211877341</c:v>
                </c:pt>
                <c:pt idx="67">
                  <c:v>0.3995044211877341</c:v>
                </c:pt>
                <c:pt idx="68">
                  <c:v>0.3995044211877341</c:v>
                </c:pt>
                <c:pt idx="69">
                  <c:v>0.3995044211877341</c:v>
                </c:pt>
                <c:pt idx="70">
                  <c:v>0.3995044211877341</c:v>
                </c:pt>
                <c:pt idx="71">
                  <c:v>0.3995044211877341</c:v>
                </c:pt>
                <c:pt idx="72">
                  <c:v>0.3995044211877341</c:v>
                </c:pt>
                <c:pt idx="73">
                  <c:v>0.3995044211877341</c:v>
                </c:pt>
                <c:pt idx="74">
                  <c:v>0.3995044211877341</c:v>
                </c:pt>
                <c:pt idx="75">
                  <c:v>0.3995044211877341</c:v>
                </c:pt>
                <c:pt idx="76">
                  <c:v>0.3995044211877341</c:v>
                </c:pt>
                <c:pt idx="77">
                  <c:v>0.53466606902568659</c:v>
                </c:pt>
                <c:pt idx="78">
                  <c:v>0.53466606902568659</c:v>
                </c:pt>
                <c:pt idx="79">
                  <c:v>0.53466606902568659</c:v>
                </c:pt>
                <c:pt idx="80">
                  <c:v>0.53466606902568659</c:v>
                </c:pt>
                <c:pt idx="81">
                  <c:v>0.53466606902568659</c:v>
                </c:pt>
                <c:pt idx="82">
                  <c:v>0.53466606902568659</c:v>
                </c:pt>
                <c:pt idx="83">
                  <c:v>0.53466606902568659</c:v>
                </c:pt>
                <c:pt idx="84">
                  <c:v>0.53466606902568659</c:v>
                </c:pt>
                <c:pt idx="85">
                  <c:v>0.53466606902568659</c:v>
                </c:pt>
                <c:pt idx="86">
                  <c:v>0.53466606902568659</c:v>
                </c:pt>
                <c:pt idx="87">
                  <c:v>0.53466606902568659</c:v>
                </c:pt>
                <c:pt idx="88">
                  <c:v>0.53466606902568659</c:v>
                </c:pt>
                <c:pt idx="89">
                  <c:v>0.53466606902568659</c:v>
                </c:pt>
                <c:pt idx="90">
                  <c:v>0.53466606902568659</c:v>
                </c:pt>
                <c:pt idx="91">
                  <c:v>0.53466606902568659</c:v>
                </c:pt>
                <c:pt idx="92">
                  <c:v>0.53466606902568659</c:v>
                </c:pt>
                <c:pt idx="93">
                  <c:v>0.53466606902568659</c:v>
                </c:pt>
                <c:pt idx="94">
                  <c:v>0.53466606902568659</c:v>
                </c:pt>
                <c:pt idx="95">
                  <c:v>0.53466606902568659</c:v>
                </c:pt>
                <c:pt idx="96">
                  <c:v>0.53466606902568659</c:v>
                </c:pt>
                <c:pt idx="97">
                  <c:v>0.53466606902568659</c:v>
                </c:pt>
                <c:pt idx="98">
                  <c:v>0.63940505982692164</c:v>
                </c:pt>
                <c:pt idx="99">
                  <c:v>0.63940505982692164</c:v>
                </c:pt>
                <c:pt idx="100">
                  <c:v>0.63940505982692164</c:v>
                </c:pt>
                <c:pt idx="101">
                  <c:v>0.63940505982692164</c:v>
                </c:pt>
                <c:pt idx="102">
                  <c:v>0.63940505982692164</c:v>
                </c:pt>
                <c:pt idx="103">
                  <c:v>0.63940505982692164</c:v>
                </c:pt>
                <c:pt idx="104">
                  <c:v>0.63940505982692164</c:v>
                </c:pt>
                <c:pt idx="105">
                  <c:v>0.63940505982692164</c:v>
                </c:pt>
                <c:pt idx="106">
                  <c:v>0.63940505982692164</c:v>
                </c:pt>
                <c:pt idx="107">
                  <c:v>0.63940505982692164</c:v>
                </c:pt>
                <c:pt idx="108">
                  <c:v>0.63940505982692164</c:v>
                </c:pt>
                <c:pt idx="109">
                  <c:v>0.63940505982692164</c:v>
                </c:pt>
                <c:pt idx="110">
                  <c:v>0.63940505982692164</c:v>
                </c:pt>
                <c:pt idx="111">
                  <c:v>0.63940505982692164</c:v>
                </c:pt>
                <c:pt idx="112">
                  <c:v>0.63940505982692164</c:v>
                </c:pt>
                <c:pt idx="113">
                  <c:v>0.63940505982692164</c:v>
                </c:pt>
                <c:pt idx="114">
                  <c:v>0.63940505982692164</c:v>
                </c:pt>
                <c:pt idx="115">
                  <c:v>0.63940505982692164</c:v>
                </c:pt>
                <c:pt idx="116">
                  <c:v>0.63940505982692164</c:v>
                </c:pt>
                <c:pt idx="117">
                  <c:v>0.72056903177859266</c:v>
                </c:pt>
                <c:pt idx="118">
                  <c:v>0.72056903177859266</c:v>
                </c:pt>
                <c:pt idx="119">
                  <c:v>0.72056903177859266</c:v>
                </c:pt>
                <c:pt idx="120">
                  <c:v>0.72056903177859266</c:v>
                </c:pt>
                <c:pt idx="121">
                  <c:v>0.72056903177859266</c:v>
                </c:pt>
                <c:pt idx="122">
                  <c:v>0.72056903177859266</c:v>
                </c:pt>
                <c:pt idx="123">
                  <c:v>0.72056903177859266</c:v>
                </c:pt>
                <c:pt idx="124">
                  <c:v>0.72056903177859266</c:v>
                </c:pt>
                <c:pt idx="125">
                  <c:v>0.72056903177859266</c:v>
                </c:pt>
                <c:pt idx="126">
                  <c:v>0.72056903177859266</c:v>
                </c:pt>
                <c:pt idx="127">
                  <c:v>0.72056903177859266</c:v>
                </c:pt>
                <c:pt idx="128">
                  <c:v>0.72056903177859266</c:v>
                </c:pt>
                <c:pt idx="129">
                  <c:v>0.72056903177859266</c:v>
                </c:pt>
                <c:pt idx="130">
                  <c:v>0.72056903177859266</c:v>
                </c:pt>
                <c:pt idx="131">
                  <c:v>0.78346433268399296</c:v>
                </c:pt>
                <c:pt idx="132">
                  <c:v>0.78346433268399296</c:v>
                </c:pt>
                <c:pt idx="133">
                  <c:v>0.78346433268399296</c:v>
                </c:pt>
                <c:pt idx="134">
                  <c:v>0.78346433268399296</c:v>
                </c:pt>
                <c:pt idx="135">
                  <c:v>0.78346433268399296</c:v>
                </c:pt>
                <c:pt idx="136">
                  <c:v>0.78346433268399296</c:v>
                </c:pt>
                <c:pt idx="137">
                  <c:v>0.78346433268399296</c:v>
                </c:pt>
                <c:pt idx="138">
                  <c:v>0.78346433268399296</c:v>
                </c:pt>
                <c:pt idx="139">
                  <c:v>0.78346433268399296</c:v>
                </c:pt>
                <c:pt idx="140">
                  <c:v>0.83220293899981412</c:v>
                </c:pt>
                <c:pt idx="141">
                  <c:v>0.83220293899981412</c:v>
                </c:pt>
                <c:pt idx="142">
                  <c:v>0.83220293899981412</c:v>
                </c:pt>
                <c:pt idx="143">
                  <c:v>0.83220293899981412</c:v>
                </c:pt>
                <c:pt idx="144">
                  <c:v>0.83220293899981412</c:v>
                </c:pt>
                <c:pt idx="145">
                  <c:v>0.86997128912157407</c:v>
                </c:pt>
                <c:pt idx="146">
                  <c:v>0.86997128912157407</c:v>
                </c:pt>
                <c:pt idx="147">
                  <c:v>0.86997128912157407</c:v>
                </c:pt>
                <c:pt idx="148">
                  <c:v>0.86997128912157407</c:v>
                </c:pt>
                <c:pt idx="149">
                  <c:v>0.86997128912157407</c:v>
                </c:pt>
                <c:pt idx="150">
                  <c:v>0.86997128912157407</c:v>
                </c:pt>
                <c:pt idx="151">
                  <c:v>0.86997128912157407</c:v>
                </c:pt>
                <c:pt idx="152">
                  <c:v>0.86997128912157407</c:v>
                </c:pt>
                <c:pt idx="153">
                  <c:v>0.89923860673169631</c:v>
                </c:pt>
                <c:pt idx="154">
                  <c:v>0.89923860673169631</c:v>
                </c:pt>
                <c:pt idx="155">
                  <c:v>0.89923860673169631</c:v>
                </c:pt>
                <c:pt idx="156">
                  <c:v>0.89923860673169631</c:v>
                </c:pt>
                <c:pt idx="157">
                  <c:v>0.89923860673169631</c:v>
                </c:pt>
                <c:pt idx="158">
                  <c:v>0.92191833399884682</c:v>
                </c:pt>
                <c:pt idx="159">
                  <c:v>0.92191833399884682</c:v>
                </c:pt>
                <c:pt idx="160">
                  <c:v>0.92191833399884682</c:v>
                </c:pt>
                <c:pt idx="161">
                  <c:v>0.92191833399884682</c:v>
                </c:pt>
                <c:pt idx="162">
                  <c:v>0.93949322882741959</c:v>
                </c:pt>
                <c:pt idx="163">
                  <c:v>0.93949322882741959</c:v>
                </c:pt>
                <c:pt idx="164">
                  <c:v>0.93949322882741959</c:v>
                </c:pt>
                <c:pt idx="165">
                  <c:v>0.93949322882741959</c:v>
                </c:pt>
                <c:pt idx="166">
                  <c:v>0.95311230478001152</c:v>
                </c:pt>
                <c:pt idx="167">
                  <c:v>0.95311230478001152</c:v>
                </c:pt>
                <c:pt idx="168">
                  <c:v>0.96366595142265998</c:v>
                </c:pt>
                <c:pt idx="169">
                  <c:v>0.96366595142265998</c:v>
                </c:pt>
                <c:pt idx="170">
                  <c:v>0.97184414631969995</c:v>
                </c:pt>
                <c:pt idx="171">
                  <c:v>0.97184414631969995</c:v>
                </c:pt>
                <c:pt idx="172">
                  <c:v>0.97818156446895721</c:v>
                </c:pt>
                <c:pt idx="173">
                  <c:v>0.98984714162663023</c:v>
                </c:pt>
              </c:numCache>
            </c:numRef>
          </c:xVal>
          <c:yVal>
            <c:numRef>
              <c:f>'PPlot-Service'!D3:D176</c:f>
              <c:numCache>
                <c:formatCode>General</c:formatCode>
                <c:ptCount val="174"/>
                <c:pt idx="0">
                  <c:v>1.7142857142857144E-2</c:v>
                </c:pt>
                <c:pt idx="1">
                  <c:v>2.2857142857142857E-2</c:v>
                </c:pt>
                <c:pt idx="2">
                  <c:v>2.8571428571428571E-2</c:v>
                </c:pt>
                <c:pt idx="3">
                  <c:v>3.4285714285714287E-2</c:v>
                </c:pt>
                <c:pt idx="4">
                  <c:v>0.04</c:v>
                </c:pt>
                <c:pt idx="5">
                  <c:v>4.5714285714285714E-2</c:v>
                </c:pt>
                <c:pt idx="6">
                  <c:v>5.1428571428571428E-2</c:v>
                </c:pt>
                <c:pt idx="7">
                  <c:v>5.7142857142857141E-2</c:v>
                </c:pt>
                <c:pt idx="8">
                  <c:v>6.2857142857142861E-2</c:v>
                </c:pt>
                <c:pt idx="9">
                  <c:v>6.8571428571428575E-2</c:v>
                </c:pt>
                <c:pt idx="10">
                  <c:v>7.4285714285714288E-2</c:v>
                </c:pt>
                <c:pt idx="11">
                  <c:v>0.08</c:v>
                </c:pt>
                <c:pt idx="12">
                  <c:v>8.5714285714285715E-2</c:v>
                </c:pt>
                <c:pt idx="13">
                  <c:v>9.1428571428571428E-2</c:v>
                </c:pt>
                <c:pt idx="14">
                  <c:v>9.7142857142857142E-2</c:v>
                </c:pt>
                <c:pt idx="15">
                  <c:v>0.10285714285714286</c:v>
                </c:pt>
                <c:pt idx="16">
                  <c:v>0.10857142857142857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0.17142857142857143</c:v>
                </c:pt>
                <c:pt idx="28">
                  <c:v>0.17714285714285713</c:v>
                </c:pt>
                <c:pt idx="29">
                  <c:v>0.18285714285714286</c:v>
                </c:pt>
                <c:pt idx="30">
                  <c:v>0.18857142857142858</c:v>
                </c:pt>
                <c:pt idx="31">
                  <c:v>0.19428571428571428</c:v>
                </c:pt>
                <c:pt idx="32">
                  <c:v>0.2</c:v>
                </c:pt>
                <c:pt idx="33">
                  <c:v>0.20571428571428571</c:v>
                </c:pt>
                <c:pt idx="34">
                  <c:v>0.21142857142857144</c:v>
                </c:pt>
                <c:pt idx="35">
                  <c:v>0.21714285714285714</c:v>
                </c:pt>
                <c:pt idx="36">
                  <c:v>0.22285714285714286</c:v>
                </c:pt>
                <c:pt idx="37">
                  <c:v>0.22857142857142856</c:v>
                </c:pt>
                <c:pt idx="38">
                  <c:v>0.23428571428571429</c:v>
                </c:pt>
                <c:pt idx="39">
                  <c:v>0.24</c:v>
                </c:pt>
                <c:pt idx="40">
                  <c:v>0.24571428571428572</c:v>
                </c:pt>
                <c:pt idx="41">
                  <c:v>0.25142857142857145</c:v>
                </c:pt>
                <c:pt idx="42">
                  <c:v>0.25714285714285712</c:v>
                </c:pt>
                <c:pt idx="43">
                  <c:v>0.26285714285714284</c:v>
                </c:pt>
                <c:pt idx="44">
                  <c:v>0.26857142857142857</c:v>
                </c:pt>
                <c:pt idx="45">
                  <c:v>0.2742857142857143</c:v>
                </c:pt>
                <c:pt idx="46">
                  <c:v>0.28000000000000003</c:v>
                </c:pt>
                <c:pt idx="47">
                  <c:v>0.2857142857142857</c:v>
                </c:pt>
                <c:pt idx="48">
                  <c:v>0.29142857142857143</c:v>
                </c:pt>
                <c:pt idx="49">
                  <c:v>0.29714285714285715</c:v>
                </c:pt>
                <c:pt idx="50">
                  <c:v>0.30285714285714288</c:v>
                </c:pt>
                <c:pt idx="51">
                  <c:v>0.30857142857142855</c:v>
                </c:pt>
                <c:pt idx="52">
                  <c:v>0.31428571428571428</c:v>
                </c:pt>
                <c:pt idx="53">
                  <c:v>0.32</c:v>
                </c:pt>
                <c:pt idx="54">
                  <c:v>0.32571428571428573</c:v>
                </c:pt>
                <c:pt idx="55">
                  <c:v>0.33142857142857141</c:v>
                </c:pt>
                <c:pt idx="56">
                  <c:v>0.33714285714285713</c:v>
                </c:pt>
                <c:pt idx="57">
                  <c:v>0.34285714285714286</c:v>
                </c:pt>
                <c:pt idx="58">
                  <c:v>0.34857142857142859</c:v>
                </c:pt>
                <c:pt idx="59">
                  <c:v>0.35428571428571426</c:v>
                </c:pt>
                <c:pt idx="60">
                  <c:v>0.36</c:v>
                </c:pt>
                <c:pt idx="61">
                  <c:v>0.36571428571428571</c:v>
                </c:pt>
                <c:pt idx="62">
                  <c:v>0.37142857142857144</c:v>
                </c:pt>
                <c:pt idx="63">
                  <c:v>0.37714285714285717</c:v>
                </c:pt>
                <c:pt idx="64">
                  <c:v>0.38285714285714284</c:v>
                </c:pt>
                <c:pt idx="65">
                  <c:v>0.38857142857142857</c:v>
                </c:pt>
                <c:pt idx="66">
                  <c:v>0.39428571428571429</c:v>
                </c:pt>
                <c:pt idx="67">
                  <c:v>0.4</c:v>
                </c:pt>
                <c:pt idx="68">
                  <c:v>0.40571428571428569</c:v>
                </c:pt>
                <c:pt idx="69">
                  <c:v>0.41142857142857142</c:v>
                </c:pt>
                <c:pt idx="70">
                  <c:v>0.41714285714285715</c:v>
                </c:pt>
                <c:pt idx="71">
                  <c:v>0.42285714285714288</c:v>
                </c:pt>
                <c:pt idx="72">
                  <c:v>0.42857142857142855</c:v>
                </c:pt>
                <c:pt idx="73">
                  <c:v>0.43428571428571427</c:v>
                </c:pt>
                <c:pt idx="74">
                  <c:v>0.44</c:v>
                </c:pt>
                <c:pt idx="75">
                  <c:v>0.44571428571428573</c:v>
                </c:pt>
                <c:pt idx="76">
                  <c:v>0.4514285714285714</c:v>
                </c:pt>
                <c:pt idx="77">
                  <c:v>0.45714285714285713</c:v>
                </c:pt>
                <c:pt idx="78">
                  <c:v>0.46285714285714286</c:v>
                </c:pt>
                <c:pt idx="79">
                  <c:v>0.46857142857142858</c:v>
                </c:pt>
                <c:pt idx="80">
                  <c:v>0.47428571428571431</c:v>
                </c:pt>
                <c:pt idx="81">
                  <c:v>0.48</c:v>
                </c:pt>
                <c:pt idx="82">
                  <c:v>0.48571428571428571</c:v>
                </c:pt>
                <c:pt idx="83">
                  <c:v>0.49142857142857144</c:v>
                </c:pt>
                <c:pt idx="84">
                  <c:v>0.49714285714285716</c:v>
                </c:pt>
                <c:pt idx="85">
                  <c:v>0.50285714285714289</c:v>
                </c:pt>
                <c:pt idx="86">
                  <c:v>0.50857142857142856</c:v>
                </c:pt>
                <c:pt idx="87">
                  <c:v>0.51428571428571423</c:v>
                </c:pt>
                <c:pt idx="88">
                  <c:v>0.52</c:v>
                </c:pt>
                <c:pt idx="89">
                  <c:v>0.52571428571428569</c:v>
                </c:pt>
                <c:pt idx="90">
                  <c:v>0.53142857142857147</c:v>
                </c:pt>
                <c:pt idx="91">
                  <c:v>0.53714285714285714</c:v>
                </c:pt>
                <c:pt idx="92">
                  <c:v>0.54285714285714282</c:v>
                </c:pt>
                <c:pt idx="93">
                  <c:v>0.5485714285714286</c:v>
                </c:pt>
                <c:pt idx="94">
                  <c:v>0.55428571428571427</c:v>
                </c:pt>
                <c:pt idx="95">
                  <c:v>0.56000000000000005</c:v>
                </c:pt>
                <c:pt idx="96">
                  <c:v>0.56571428571428573</c:v>
                </c:pt>
                <c:pt idx="97">
                  <c:v>0.5714285714285714</c:v>
                </c:pt>
                <c:pt idx="98">
                  <c:v>0.57714285714285718</c:v>
                </c:pt>
                <c:pt idx="99">
                  <c:v>0.58285714285714285</c:v>
                </c:pt>
                <c:pt idx="100">
                  <c:v>0.58857142857142852</c:v>
                </c:pt>
                <c:pt idx="101">
                  <c:v>0.59428571428571431</c:v>
                </c:pt>
                <c:pt idx="102">
                  <c:v>0.6</c:v>
                </c:pt>
                <c:pt idx="103">
                  <c:v>0.60571428571428576</c:v>
                </c:pt>
                <c:pt idx="104">
                  <c:v>0.61142857142857143</c:v>
                </c:pt>
                <c:pt idx="105">
                  <c:v>0.6171428571428571</c:v>
                </c:pt>
                <c:pt idx="106">
                  <c:v>0.62285714285714289</c:v>
                </c:pt>
                <c:pt idx="107">
                  <c:v>0.62857142857142856</c:v>
                </c:pt>
                <c:pt idx="108">
                  <c:v>0.63428571428571423</c:v>
                </c:pt>
                <c:pt idx="109">
                  <c:v>0.64</c:v>
                </c:pt>
                <c:pt idx="110">
                  <c:v>0.64571428571428569</c:v>
                </c:pt>
                <c:pt idx="111">
                  <c:v>0.65142857142857147</c:v>
                </c:pt>
                <c:pt idx="112">
                  <c:v>0.65714285714285714</c:v>
                </c:pt>
                <c:pt idx="113">
                  <c:v>0.66285714285714281</c:v>
                </c:pt>
                <c:pt idx="114">
                  <c:v>0.66857142857142859</c:v>
                </c:pt>
                <c:pt idx="115">
                  <c:v>0.67428571428571427</c:v>
                </c:pt>
                <c:pt idx="116">
                  <c:v>0.68</c:v>
                </c:pt>
                <c:pt idx="117">
                  <c:v>0.68571428571428572</c:v>
                </c:pt>
                <c:pt idx="118">
                  <c:v>0.69142857142857139</c:v>
                </c:pt>
                <c:pt idx="119">
                  <c:v>0.69714285714285718</c:v>
                </c:pt>
                <c:pt idx="120">
                  <c:v>0.70285714285714285</c:v>
                </c:pt>
                <c:pt idx="121">
                  <c:v>0.70857142857142852</c:v>
                </c:pt>
                <c:pt idx="122">
                  <c:v>0.7142857142857143</c:v>
                </c:pt>
                <c:pt idx="123">
                  <c:v>0.72</c:v>
                </c:pt>
                <c:pt idx="124">
                  <c:v>0.72571428571428576</c:v>
                </c:pt>
                <c:pt idx="125">
                  <c:v>0.73142857142857143</c:v>
                </c:pt>
                <c:pt idx="126">
                  <c:v>0.7371428571428571</c:v>
                </c:pt>
                <c:pt idx="127">
                  <c:v>0.74285714285714288</c:v>
                </c:pt>
                <c:pt idx="128">
                  <c:v>0.74857142857142855</c:v>
                </c:pt>
                <c:pt idx="129">
                  <c:v>0.75428571428571434</c:v>
                </c:pt>
                <c:pt idx="130">
                  <c:v>0.76</c:v>
                </c:pt>
                <c:pt idx="131">
                  <c:v>0.76571428571428568</c:v>
                </c:pt>
                <c:pt idx="132">
                  <c:v>0.77142857142857146</c:v>
                </c:pt>
                <c:pt idx="133">
                  <c:v>0.77714285714285714</c:v>
                </c:pt>
                <c:pt idx="134">
                  <c:v>0.78285714285714281</c:v>
                </c:pt>
                <c:pt idx="135">
                  <c:v>0.78857142857142859</c:v>
                </c:pt>
                <c:pt idx="136">
                  <c:v>0.79428571428571426</c:v>
                </c:pt>
                <c:pt idx="137">
                  <c:v>0.8</c:v>
                </c:pt>
                <c:pt idx="138">
                  <c:v>0.80571428571428572</c:v>
                </c:pt>
                <c:pt idx="139">
                  <c:v>0.81142857142857139</c:v>
                </c:pt>
                <c:pt idx="140">
                  <c:v>0.81714285714285717</c:v>
                </c:pt>
                <c:pt idx="141">
                  <c:v>0.82285714285714284</c:v>
                </c:pt>
                <c:pt idx="142">
                  <c:v>0.82857142857142863</c:v>
                </c:pt>
                <c:pt idx="143">
                  <c:v>0.8342857142857143</c:v>
                </c:pt>
                <c:pt idx="144">
                  <c:v>0.84</c:v>
                </c:pt>
                <c:pt idx="145">
                  <c:v>0.84571428571428575</c:v>
                </c:pt>
                <c:pt idx="146">
                  <c:v>0.85142857142857142</c:v>
                </c:pt>
                <c:pt idx="147">
                  <c:v>0.8571428571428571</c:v>
                </c:pt>
                <c:pt idx="148">
                  <c:v>0.86285714285714288</c:v>
                </c:pt>
                <c:pt idx="149">
                  <c:v>0.86857142857142855</c:v>
                </c:pt>
                <c:pt idx="150">
                  <c:v>0.87428571428571433</c:v>
                </c:pt>
                <c:pt idx="151">
                  <c:v>0.88</c:v>
                </c:pt>
                <c:pt idx="152">
                  <c:v>0.88571428571428568</c:v>
                </c:pt>
                <c:pt idx="153">
                  <c:v>0.89142857142857146</c:v>
                </c:pt>
                <c:pt idx="154">
                  <c:v>0.89714285714285713</c:v>
                </c:pt>
                <c:pt idx="155">
                  <c:v>0.9028571428571428</c:v>
                </c:pt>
                <c:pt idx="156">
                  <c:v>0.90857142857142859</c:v>
                </c:pt>
                <c:pt idx="157">
                  <c:v>0.91428571428571426</c:v>
                </c:pt>
                <c:pt idx="158">
                  <c:v>0.92</c:v>
                </c:pt>
                <c:pt idx="159">
                  <c:v>0.92571428571428571</c:v>
                </c:pt>
                <c:pt idx="160">
                  <c:v>0.93142857142857138</c:v>
                </c:pt>
                <c:pt idx="161">
                  <c:v>0.93714285714285717</c:v>
                </c:pt>
                <c:pt idx="162">
                  <c:v>0.94285714285714284</c:v>
                </c:pt>
                <c:pt idx="163">
                  <c:v>0.94857142857142862</c:v>
                </c:pt>
                <c:pt idx="164">
                  <c:v>0.95428571428571429</c:v>
                </c:pt>
                <c:pt idx="165">
                  <c:v>0.96</c:v>
                </c:pt>
                <c:pt idx="166">
                  <c:v>0.96571428571428575</c:v>
                </c:pt>
                <c:pt idx="167">
                  <c:v>0.97142857142857142</c:v>
                </c:pt>
                <c:pt idx="168">
                  <c:v>0.97714285714285709</c:v>
                </c:pt>
                <c:pt idx="169">
                  <c:v>0.98285714285714287</c:v>
                </c:pt>
                <c:pt idx="170">
                  <c:v>0.98857142857142855</c:v>
                </c:pt>
                <c:pt idx="171">
                  <c:v>0.99428571428571433</c:v>
                </c:pt>
                <c:pt idx="172">
                  <c:v>1</c:v>
                </c:pt>
                <c:pt idx="173">
                  <c:v>1.0057142857142858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8B-4F41-AF1F-898BCEA5D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968839"/>
        <c:axId val="1023137287"/>
      </c:scatterChart>
      <c:valAx>
        <c:axId val="1022968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37287"/>
        <c:crosses val="autoZero"/>
        <c:crossBetween val="midCat"/>
      </c:valAx>
      <c:valAx>
        <c:axId val="1023137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68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THEORETICAL Vs EMPRICIAL (ARRIVAL TIME PPLOT)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{"Theoretical vs. empirical"}</c:f>
              <c:strCache>
                <c:ptCount val="1"/>
                <c:pt idx="0">
                  <c:v>Theoretical vs. empirical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'PPlot-Arrival (2)'!E3:E176</c:f>
              <c:numCache>
                <c:formatCode>General</c:formatCode>
                <c:ptCount val="174"/>
                <c:pt idx="0">
                  <c:v>0</c:v>
                </c:pt>
                <c:pt idx="1">
                  <c:v>0.96620399191332762</c:v>
                </c:pt>
                <c:pt idx="2">
                  <c:v>0.76583944156279848</c:v>
                </c:pt>
                <c:pt idx="3">
                  <c:v>0.62009428209863793</c:v>
                </c:pt>
                <c:pt idx="4">
                  <c:v>0</c:v>
                </c:pt>
                <c:pt idx="5">
                  <c:v>0.93015930816765635</c:v>
                </c:pt>
                <c:pt idx="6">
                  <c:v>0</c:v>
                </c:pt>
                <c:pt idx="7">
                  <c:v>0.38363507732726865</c:v>
                </c:pt>
                <c:pt idx="8">
                  <c:v>0.38363507732726865</c:v>
                </c:pt>
                <c:pt idx="9">
                  <c:v>0.88668937951644811</c:v>
                </c:pt>
                <c:pt idx="10">
                  <c:v>0.85567164550585062</c:v>
                </c:pt>
                <c:pt idx="11">
                  <c:v>0.62009428209863793</c:v>
                </c:pt>
                <c:pt idx="12">
                  <c:v>0.85567164550585062</c:v>
                </c:pt>
                <c:pt idx="13">
                  <c:v>0.21491088233708699</c:v>
                </c:pt>
                <c:pt idx="14">
                  <c:v>0.51609860670049568</c:v>
                </c:pt>
                <c:pt idx="15">
                  <c:v>0.51609860670049568</c:v>
                </c:pt>
                <c:pt idx="16">
                  <c:v>0.21491088233708699</c:v>
                </c:pt>
                <c:pt idx="17">
                  <c:v>0</c:v>
                </c:pt>
                <c:pt idx="18">
                  <c:v>0.88668937951644811</c:v>
                </c:pt>
                <c:pt idx="19">
                  <c:v>0.91104106494273107</c:v>
                </c:pt>
                <c:pt idx="20">
                  <c:v>0.62009428209863793</c:v>
                </c:pt>
                <c:pt idx="21">
                  <c:v>0.21491088233708699</c:v>
                </c:pt>
                <c:pt idx="22">
                  <c:v>0.38363507732726865</c:v>
                </c:pt>
                <c:pt idx="23">
                  <c:v>0.70174015513772403</c:v>
                </c:pt>
                <c:pt idx="24">
                  <c:v>0.88668937951644811</c:v>
                </c:pt>
                <c:pt idx="25">
                  <c:v>0.88668937951644811</c:v>
                </c:pt>
                <c:pt idx="26">
                  <c:v>0.76583944156279848</c:v>
                </c:pt>
                <c:pt idx="27">
                  <c:v>0.62009428209863793</c:v>
                </c:pt>
                <c:pt idx="28">
                  <c:v>0.21491088233708699</c:v>
                </c:pt>
                <c:pt idx="29">
                  <c:v>0</c:v>
                </c:pt>
                <c:pt idx="30">
                  <c:v>0.88668937951644811</c:v>
                </c:pt>
                <c:pt idx="31">
                  <c:v>0.62009428209863793</c:v>
                </c:pt>
                <c:pt idx="32">
                  <c:v>0</c:v>
                </c:pt>
                <c:pt idx="33">
                  <c:v>0.21491088233708699</c:v>
                </c:pt>
                <c:pt idx="34">
                  <c:v>0.62009428209863793</c:v>
                </c:pt>
                <c:pt idx="35">
                  <c:v>0</c:v>
                </c:pt>
                <c:pt idx="36">
                  <c:v>0.21491088233708699</c:v>
                </c:pt>
                <c:pt idx="37">
                  <c:v>0.51609860670049568</c:v>
                </c:pt>
                <c:pt idx="38">
                  <c:v>0.70174015513772403</c:v>
                </c:pt>
                <c:pt idx="39">
                  <c:v>0.62009428209863793</c:v>
                </c:pt>
                <c:pt idx="40">
                  <c:v>0.21491088233708699</c:v>
                </c:pt>
                <c:pt idx="41">
                  <c:v>0.70174015513772403</c:v>
                </c:pt>
                <c:pt idx="42">
                  <c:v>0.21491088233708699</c:v>
                </c:pt>
                <c:pt idx="43">
                  <c:v>0.21491088233708699</c:v>
                </c:pt>
                <c:pt idx="44">
                  <c:v>0.62009428209863793</c:v>
                </c:pt>
                <c:pt idx="45">
                  <c:v>0.38363507732726865</c:v>
                </c:pt>
                <c:pt idx="46">
                  <c:v>0</c:v>
                </c:pt>
                <c:pt idx="47">
                  <c:v>0.51609860670049568</c:v>
                </c:pt>
                <c:pt idx="48">
                  <c:v>0.51609860670049568</c:v>
                </c:pt>
                <c:pt idx="49">
                  <c:v>0.21491088233708699</c:v>
                </c:pt>
                <c:pt idx="50">
                  <c:v>0.97916932608901119</c:v>
                </c:pt>
                <c:pt idx="51">
                  <c:v>0.81616309378508245</c:v>
                </c:pt>
                <c:pt idx="52">
                  <c:v>0.94516883287237796</c:v>
                </c:pt>
                <c:pt idx="53">
                  <c:v>0.93015930816765635</c:v>
                </c:pt>
                <c:pt idx="54">
                  <c:v>0.62009428209863793</c:v>
                </c:pt>
                <c:pt idx="55">
                  <c:v>0.93015930816765635</c:v>
                </c:pt>
                <c:pt idx="56">
                  <c:v>0.21491088233708699</c:v>
                </c:pt>
                <c:pt idx="57">
                  <c:v>0</c:v>
                </c:pt>
                <c:pt idx="58">
                  <c:v>0.21491088233708699</c:v>
                </c:pt>
                <c:pt idx="59">
                  <c:v>0.21491088233708699</c:v>
                </c:pt>
                <c:pt idx="60">
                  <c:v>0.51609860670049568</c:v>
                </c:pt>
                <c:pt idx="61">
                  <c:v>0.21491088233708699</c:v>
                </c:pt>
                <c:pt idx="62">
                  <c:v>0.85567164550585062</c:v>
                </c:pt>
                <c:pt idx="63">
                  <c:v>0.38363507732726865</c:v>
                </c:pt>
                <c:pt idx="64">
                  <c:v>0.38363507732726865</c:v>
                </c:pt>
                <c:pt idx="65">
                  <c:v>0.51609860670049568</c:v>
                </c:pt>
                <c:pt idx="66">
                  <c:v>0.21491088233708699</c:v>
                </c:pt>
                <c:pt idx="67">
                  <c:v>0.81616309378508245</c:v>
                </c:pt>
                <c:pt idx="68">
                  <c:v>0</c:v>
                </c:pt>
                <c:pt idx="69">
                  <c:v>0.99208630787347662</c:v>
                </c:pt>
                <c:pt idx="70">
                  <c:v>0.81616309378508245</c:v>
                </c:pt>
                <c:pt idx="71">
                  <c:v>0.21491088233708699</c:v>
                </c:pt>
                <c:pt idx="72">
                  <c:v>0</c:v>
                </c:pt>
                <c:pt idx="73">
                  <c:v>0.81616309378508245</c:v>
                </c:pt>
                <c:pt idx="74">
                  <c:v>0.76583944156279848</c:v>
                </c:pt>
                <c:pt idx="75">
                  <c:v>0.76583944156279848</c:v>
                </c:pt>
                <c:pt idx="76">
                  <c:v>0.76583944156279848</c:v>
                </c:pt>
                <c:pt idx="77">
                  <c:v>0.21491088233708699</c:v>
                </c:pt>
                <c:pt idx="78">
                  <c:v>0.38363507732726865</c:v>
                </c:pt>
                <c:pt idx="79">
                  <c:v>0</c:v>
                </c:pt>
                <c:pt idx="80">
                  <c:v>0.88668937951644811</c:v>
                </c:pt>
                <c:pt idx="81">
                  <c:v>0.62009428209863793</c:v>
                </c:pt>
                <c:pt idx="82">
                  <c:v>0.38363507732726865</c:v>
                </c:pt>
                <c:pt idx="83">
                  <c:v>0.21491088233708699</c:v>
                </c:pt>
                <c:pt idx="84">
                  <c:v>0.21491088233708699</c:v>
                </c:pt>
                <c:pt idx="85">
                  <c:v>0.38363507732726865</c:v>
                </c:pt>
                <c:pt idx="86">
                  <c:v>0.76583944156279848</c:v>
                </c:pt>
                <c:pt idx="87">
                  <c:v>0.62009428209863793</c:v>
                </c:pt>
                <c:pt idx="88">
                  <c:v>0.91104106494273107</c:v>
                </c:pt>
                <c:pt idx="89">
                  <c:v>0.51609860670049568</c:v>
                </c:pt>
                <c:pt idx="90">
                  <c:v>0.21491088233708699</c:v>
                </c:pt>
                <c:pt idx="91">
                  <c:v>0.70174015513772403</c:v>
                </c:pt>
                <c:pt idx="92">
                  <c:v>0.81616309378508245</c:v>
                </c:pt>
                <c:pt idx="93">
                  <c:v>0.51609860670049568</c:v>
                </c:pt>
                <c:pt idx="94">
                  <c:v>0.81616309378508245</c:v>
                </c:pt>
                <c:pt idx="95">
                  <c:v>0.51609860670049568</c:v>
                </c:pt>
                <c:pt idx="96">
                  <c:v>0.51609860670049568</c:v>
                </c:pt>
                <c:pt idx="97">
                  <c:v>0.51609860670049568</c:v>
                </c:pt>
                <c:pt idx="98">
                  <c:v>0</c:v>
                </c:pt>
                <c:pt idx="99">
                  <c:v>0.21491088233708699</c:v>
                </c:pt>
                <c:pt idx="100">
                  <c:v>0</c:v>
                </c:pt>
                <c:pt idx="101">
                  <c:v>0.62009428209863793</c:v>
                </c:pt>
                <c:pt idx="102">
                  <c:v>0.38363507732726865</c:v>
                </c:pt>
                <c:pt idx="103">
                  <c:v>0.51609860670049568</c:v>
                </c:pt>
                <c:pt idx="104">
                  <c:v>0.93015930816765635</c:v>
                </c:pt>
                <c:pt idx="105">
                  <c:v>0.21491088233708699</c:v>
                </c:pt>
                <c:pt idx="106">
                  <c:v>0.51609860670049568</c:v>
                </c:pt>
                <c:pt idx="107">
                  <c:v>0.76583944156279848</c:v>
                </c:pt>
                <c:pt idx="108">
                  <c:v>0.21491088233708699</c:v>
                </c:pt>
                <c:pt idx="109">
                  <c:v>0</c:v>
                </c:pt>
                <c:pt idx="110">
                  <c:v>0.38363507732726865</c:v>
                </c:pt>
                <c:pt idx="111">
                  <c:v>0.21491088233708699</c:v>
                </c:pt>
                <c:pt idx="112">
                  <c:v>0.94516883287237796</c:v>
                </c:pt>
                <c:pt idx="113">
                  <c:v>0.81616309378508245</c:v>
                </c:pt>
                <c:pt idx="114">
                  <c:v>0.70174015513772403</c:v>
                </c:pt>
                <c:pt idx="115">
                  <c:v>0.88668937951644811</c:v>
                </c:pt>
                <c:pt idx="116">
                  <c:v>0.81616309378508245</c:v>
                </c:pt>
                <c:pt idx="117">
                  <c:v>0.21491088233708699</c:v>
                </c:pt>
                <c:pt idx="118">
                  <c:v>0.91104106494273107</c:v>
                </c:pt>
                <c:pt idx="119">
                  <c:v>0.62009428209863793</c:v>
                </c:pt>
                <c:pt idx="120">
                  <c:v>0.81616309378508245</c:v>
                </c:pt>
                <c:pt idx="121">
                  <c:v>0.91104106494273107</c:v>
                </c:pt>
                <c:pt idx="122">
                  <c:v>0.38363507732726865</c:v>
                </c:pt>
                <c:pt idx="123">
                  <c:v>0.21491088233708699</c:v>
                </c:pt>
                <c:pt idx="124">
                  <c:v>0.21491088233708699</c:v>
                </c:pt>
                <c:pt idx="125">
                  <c:v>0.38363507732726865</c:v>
                </c:pt>
                <c:pt idx="126">
                  <c:v>0.85567164550585062</c:v>
                </c:pt>
                <c:pt idx="127">
                  <c:v>0.88668937951644811</c:v>
                </c:pt>
                <c:pt idx="128">
                  <c:v>0</c:v>
                </c:pt>
                <c:pt idx="129">
                  <c:v>0.51609860670049568</c:v>
                </c:pt>
                <c:pt idx="130">
                  <c:v>0.38363507732726865</c:v>
                </c:pt>
                <c:pt idx="131">
                  <c:v>0.38363507732726865</c:v>
                </c:pt>
                <c:pt idx="132">
                  <c:v>0</c:v>
                </c:pt>
                <c:pt idx="133">
                  <c:v>0.38363507732726865</c:v>
                </c:pt>
                <c:pt idx="134">
                  <c:v>0.95695264737934749</c:v>
                </c:pt>
                <c:pt idx="135">
                  <c:v>0.38363507732726865</c:v>
                </c:pt>
                <c:pt idx="136">
                  <c:v>0.51609860670049568</c:v>
                </c:pt>
                <c:pt idx="137">
                  <c:v>0.70174015513772403</c:v>
                </c:pt>
                <c:pt idx="138">
                  <c:v>0.38363507732726865</c:v>
                </c:pt>
                <c:pt idx="139">
                  <c:v>0.97916932608901119</c:v>
                </c:pt>
                <c:pt idx="140">
                  <c:v>0.97346712183070572</c:v>
                </c:pt>
                <c:pt idx="141">
                  <c:v>0.38363507732726865</c:v>
                </c:pt>
                <c:pt idx="142">
                  <c:v>0.51609860670049568</c:v>
                </c:pt>
                <c:pt idx="143">
                  <c:v>0.21491088233708699</c:v>
                </c:pt>
                <c:pt idx="144">
                  <c:v>0.38363507732726865</c:v>
                </c:pt>
                <c:pt idx="145">
                  <c:v>0</c:v>
                </c:pt>
                <c:pt idx="146">
                  <c:v>0.62009428209863793</c:v>
                </c:pt>
                <c:pt idx="147">
                  <c:v>0.51609860670049568</c:v>
                </c:pt>
                <c:pt idx="148">
                  <c:v>0.21491088233708699</c:v>
                </c:pt>
                <c:pt idx="149">
                  <c:v>0.21491088233708699</c:v>
                </c:pt>
                <c:pt idx="150">
                  <c:v>0.93015930816765635</c:v>
                </c:pt>
                <c:pt idx="151">
                  <c:v>0.21491088233708699</c:v>
                </c:pt>
                <c:pt idx="152">
                  <c:v>0.21491088233708699</c:v>
                </c:pt>
                <c:pt idx="153">
                  <c:v>0.51609860670049568</c:v>
                </c:pt>
                <c:pt idx="154">
                  <c:v>0.9899200078711049</c:v>
                </c:pt>
                <c:pt idx="155">
                  <c:v>0.21491088233708699</c:v>
                </c:pt>
                <c:pt idx="156">
                  <c:v>0.70174015513772403</c:v>
                </c:pt>
                <c:pt idx="157">
                  <c:v>0.81616309378508245</c:v>
                </c:pt>
                <c:pt idx="158">
                  <c:v>0.21491088233708699</c:v>
                </c:pt>
                <c:pt idx="159">
                  <c:v>0.76583944156279848</c:v>
                </c:pt>
                <c:pt idx="160">
                  <c:v>0.38363507732726865</c:v>
                </c:pt>
                <c:pt idx="161">
                  <c:v>0.62009428209863793</c:v>
                </c:pt>
                <c:pt idx="162">
                  <c:v>0.70174015513772403</c:v>
                </c:pt>
                <c:pt idx="163">
                  <c:v>0.51609860670049568</c:v>
                </c:pt>
                <c:pt idx="164">
                  <c:v>0.21491088233708699</c:v>
                </c:pt>
                <c:pt idx="165">
                  <c:v>0.85567164550585062</c:v>
                </c:pt>
                <c:pt idx="166">
                  <c:v>0.21491088233708699</c:v>
                </c:pt>
                <c:pt idx="167">
                  <c:v>0.21491088233708699</c:v>
                </c:pt>
                <c:pt idx="168">
                  <c:v>0.21491088233708699</c:v>
                </c:pt>
                <c:pt idx="169">
                  <c:v>0.62009428209863793</c:v>
                </c:pt>
                <c:pt idx="170">
                  <c:v>0.70174015513772403</c:v>
                </c:pt>
                <c:pt idx="171">
                  <c:v>0</c:v>
                </c:pt>
                <c:pt idx="172">
                  <c:v>0.51609860670049568</c:v>
                </c:pt>
                <c:pt idx="173">
                  <c:v>0.21491088233708699</c:v>
                </c:pt>
              </c:numCache>
            </c:numRef>
          </c:xVal>
          <c:yVal>
            <c:numRef>
              <c:f>'PPlot-Arrival (2)'!C3:C176</c:f>
              <c:numCache>
                <c:formatCode>General</c:formatCode>
                <c:ptCount val="174"/>
                <c:pt idx="0">
                  <c:v>5.7142857142857143E-3</c:v>
                </c:pt>
                <c:pt idx="1">
                  <c:v>1.1428571428571429E-2</c:v>
                </c:pt>
                <c:pt idx="2">
                  <c:v>1.7142857142857144E-2</c:v>
                </c:pt>
                <c:pt idx="3">
                  <c:v>2.2857142857142857E-2</c:v>
                </c:pt>
                <c:pt idx="4">
                  <c:v>2.8571428571428571E-2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5.1428571428571428E-2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7.4285714285714288E-2</c:v>
                </c:pt>
                <c:pt idx="13">
                  <c:v>0.08</c:v>
                </c:pt>
                <c:pt idx="14">
                  <c:v>8.5714285714285715E-2</c:v>
                </c:pt>
                <c:pt idx="15">
                  <c:v>9.1428571428571428E-2</c:v>
                </c:pt>
                <c:pt idx="16">
                  <c:v>9.7142857142857142E-2</c:v>
                </c:pt>
                <c:pt idx="17">
                  <c:v>0.10285714285714286</c:v>
                </c:pt>
                <c:pt idx="18">
                  <c:v>0.10857142857142857</c:v>
                </c:pt>
                <c:pt idx="19">
                  <c:v>0.11428571428571428</c:v>
                </c:pt>
                <c:pt idx="20">
                  <c:v>0.12</c:v>
                </c:pt>
                <c:pt idx="21">
                  <c:v>0.12571428571428572</c:v>
                </c:pt>
                <c:pt idx="22">
                  <c:v>0.13142857142857142</c:v>
                </c:pt>
                <c:pt idx="23">
                  <c:v>0.13714285714285715</c:v>
                </c:pt>
                <c:pt idx="24">
                  <c:v>0.14285714285714285</c:v>
                </c:pt>
                <c:pt idx="25">
                  <c:v>0.14857142857142858</c:v>
                </c:pt>
                <c:pt idx="26">
                  <c:v>0.15428571428571428</c:v>
                </c:pt>
                <c:pt idx="27">
                  <c:v>0.16</c:v>
                </c:pt>
                <c:pt idx="28">
                  <c:v>0.1657142857142857</c:v>
                </c:pt>
                <c:pt idx="29">
                  <c:v>0.17142857142857143</c:v>
                </c:pt>
                <c:pt idx="30">
                  <c:v>0.17714285714285713</c:v>
                </c:pt>
                <c:pt idx="31">
                  <c:v>0.18285714285714286</c:v>
                </c:pt>
                <c:pt idx="32">
                  <c:v>0.18857142857142858</c:v>
                </c:pt>
                <c:pt idx="33">
                  <c:v>0.19428571428571428</c:v>
                </c:pt>
                <c:pt idx="34">
                  <c:v>0.2</c:v>
                </c:pt>
                <c:pt idx="35">
                  <c:v>0.20571428571428571</c:v>
                </c:pt>
                <c:pt idx="36">
                  <c:v>0.21142857142857144</c:v>
                </c:pt>
                <c:pt idx="37">
                  <c:v>0.21714285714285714</c:v>
                </c:pt>
                <c:pt idx="38">
                  <c:v>0.22285714285714286</c:v>
                </c:pt>
                <c:pt idx="39">
                  <c:v>0.22857142857142856</c:v>
                </c:pt>
                <c:pt idx="40">
                  <c:v>0.23428571428571429</c:v>
                </c:pt>
                <c:pt idx="41">
                  <c:v>0.24</c:v>
                </c:pt>
                <c:pt idx="42">
                  <c:v>0.24571428571428572</c:v>
                </c:pt>
                <c:pt idx="43">
                  <c:v>0.25142857142857145</c:v>
                </c:pt>
                <c:pt idx="44">
                  <c:v>0.25714285714285712</c:v>
                </c:pt>
                <c:pt idx="45">
                  <c:v>0.26285714285714284</c:v>
                </c:pt>
                <c:pt idx="46">
                  <c:v>0.26857142857142857</c:v>
                </c:pt>
                <c:pt idx="47">
                  <c:v>0.2742857142857143</c:v>
                </c:pt>
                <c:pt idx="48">
                  <c:v>0.28000000000000003</c:v>
                </c:pt>
                <c:pt idx="49">
                  <c:v>0.2857142857142857</c:v>
                </c:pt>
                <c:pt idx="50">
                  <c:v>0.29142857142857143</c:v>
                </c:pt>
                <c:pt idx="51">
                  <c:v>0.29714285714285715</c:v>
                </c:pt>
                <c:pt idx="52">
                  <c:v>0.30285714285714288</c:v>
                </c:pt>
                <c:pt idx="53">
                  <c:v>0.30857142857142855</c:v>
                </c:pt>
                <c:pt idx="54">
                  <c:v>0.31428571428571428</c:v>
                </c:pt>
                <c:pt idx="55">
                  <c:v>0.32</c:v>
                </c:pt>
                <c:pt idx="56">
                  <c:v>0.32571428571428573</c:v>
                </c:pt>
                <c:pt idx="57">
                  <c:v>0.33142857142857141</c:v>
                </c:pt>
                <c:pt idx="58">
                  <c:v>0.33714285714285713</c:v>
                </c:pt>
                <c:pt idx="59">
                  <c:v>0.34285714285714286</c:v>
                </c:pt>
                <c:pt idx="60">
                  <c:v>0.34857142857142859</c:v>
                </c:pt>
                <c:pt idx="61">
                  <c:v>0.35428571428571426</c:v>
                </c:pt>
                <c:pt idx="62">
                  <c:v>0.36</c:v>
                </c:pt>
                <c:pt idx="63">
                  <c:v>0.36571428571428571</c:v>
                </c:pt>
                <c:pt idx="64">
                  <c:v>0.37142857142857144</c:v>
                </c:pt>
                <c:pt idx="65">
                  <c:v>0.37714285714285717</c:v>
                </c:pt>
                <c:pt idx="66">
                  <c:v>0.38285714285714284</c:v>
                </c:pt>
                <c:pt idx="67">
                  <c:v>0.38857142857142857</c:v>
                </c:pt>
                <c:pt idx="68">
                  <c:v>0.39428571428571429</c:v>
                </c:pt>
                <c:pt idx="69">
                  <c:v>0.4</c:v>
                </c:pt>
                <c:pt idx="70">
                  <c:v>0.40571428571428569</c:v>
                </c:pt>
                <c:pt idx="71">
                  <c:v>0.41142857142857142</c:v>
                </c:pt>
                <c:pt idx="72">
                  <c:v>0.41714285714285715</c:v>
                </c:pt>
                <c:pt idx="73">
                  <c:v>0.42285714285714288</c:v>
                </c:pt>
                <c:pt idx="74">
                  <c:v>0.42857142857142855</c:v>
                </c:pt>
                <c:pt idx="75">
                  <c:v>0.43428571428571427</c:v>
                </c:pt>
                <c:pt idx="76">
                  <c:v>0.44</c:v>
                </c:pt>
                <c:pt idx="77">
                  <c:v>0.44571428571428573</c:v>
                </c:pt>
                <c:pt idx="78">
                  <c:v>0.4514285714285714</c:v>
                </c:pt>
                <c:pt idx="79">
                  <c:v>0.45714285714285713</c:v>
                </c:pt>
                <c:pt idx="80">
                  <c:v>0.46285714285714286</c:v>
                </c:pt>
                <c:pt idx="81">
                  <c:v>0.46857142857142858</c:v>
                </c:pt>
                <c:pt idx="82">
                  <c:v>0.47428571428571431</c:v>
                </c:pt>
                <c:pt idx="83">
                  <c:v>0.48</c:v>
                </c:pt>
                <c:pt idx="84">
                  <c:v>0.48571428571428571</c:v>
                </c:pt>
                <c:pt idx="85">
                  <c:v>0.49142857142857144</c:v>
                </c:pt>
                <c:pt idx="86">
                  <c:v>0.49714285714285716</c:v>
                </c:pt>
                <c:pt idx="87">
                  <c:v>0.50285714285714289</c:v>
                </c:pt>
                <c:pt idx="88">
                  <c:v>0.50857142857142856</c:v>
                </c:pt>
                <c:pt idx="89">
                  <c:v>0.51428571428571423</c:v>
                </c:pt>
                <c:pt idx="90">
                  <c:v>0.52</c:v>
                </c:pt>
                <c:pt idx="91">
                  <c:v>0.52571428571428569</c:v>
                </c:pt>
                <c:pt idx="92">
                  <c:v>0.53142857142857147</c:v>
                </c:pt>
                <c:pt idx="93">
                  <c:v>0.53714285714285714</c:v>
                </c:pt>
                <c:pt idx="94">
                  <c:v>0.54285714285714282</c:v>
                </c:pt>
                <c:pt idx="95">
                  <c:v>0.5485714285714286</c:v>
                </c:pt>
                <c:pt idx="96">
                  <c:v>0.55428571428571427</c:v>
                </c:pt>
                <c:pt idx="97">
                  <c:v>0.56000000000000005</c:v>
                </c:pt>
                <c:pt idx="98">
                  <c:v>0.56571428571428573</c:v>
                </c:pt>
                <c:pt idx="99">
                  <c:v>0.5714285714285714</c:v>
                </c:pt>
                <c:pt idx="100">
                  <c:v>0.57714285714285718</c:v>
                </c:pt>
                <c:pt idx="101">
                  <c:v>0.58285714285714285</c:v>
                </c:pt>
                <c:pt idx="102">
                  <c:v>0.58857142857142852</c:v>
                </c:pt>
                <c:pt idx="103">
                  <c:v>0.59428571428571431</c:v>
                </c:pt>
                <c:pt idx="104">
                  <c:v>0.6</c:v>
                </c:pt>
                <c:pt idx="105">
                  <c:v>0.60571428571428576</c:v>
                </c:pt>
                <c:pt idx="106">
                  <c:v>0.61142857142857143</c:v>
                </c:pt>
                <c:pt idx="107">
                  <c:v>0.6171428571428571</c:v>
                </c:pt>
                <c:pt idx="108">
                  <c:v>0.62285714285714289</c:v>
                </c:pt>
                <c:pt idx="109">
                  <c:v>0.62857142857142856</c:v>
                </c:pt>
                <c:pt idx="110">
                  <c:v>0.63428571428571423</c:v>
                </c:pt>
                <c:pt idx="111">
                  <c:v>0.64</c:v>
                </c:pt>
                <c:pt idx="112">
                  <c:v>0.64571428571428569</c:v>
                </c:pt>
                <c:pt idx="113">
                  <c:v>0.65142857142857147</c:v>
                </c:pt>
                <c:pt idx="114">
                  <c:v>0.65714285714285714</c:v>
                </c:pt>
                <c:pt idx="115">
                  <c:v>0.66285714285714281</c:v>
                </c:pt>
                <c:pt idx="116">
                  <c:v>0.66857142857142859</c:v>
                </c:pt>
                <c:pt idx="117">
                  <c:v>0.67428571428571427</c:v>
                </c:pt>
                <c:pt idx="118">
                  <c:v>0.68</c:v>
                </c:pt>
                <c:pt idx="119">
                  <c:v>0.68571428571428572</c:v>
                </c:pt>
                <c:pt idx="120">
                  <c:v>0.69142857142857139</c:v>
                </c:pt>
                <c:pt idx="121">
                  <c:v>0.69714285714285718</c:v>
                </c:pt>
                <c:pt idx="122">
                  <c:v>0.70285714285714285</c:v>
                </c:pt>
                <c:pt idx="123">
                  <c:v>0.70857142857142852</c:v>
                </c:pt>
                <c:pt idx="124">
                  <c:v>0.7142857142857143</c:v>
                </c:pt>
                <c:pt idx="125">
                  <c:v>0.72</c:v>
                </c:pt>
                <c:pt idx="126">
                  <c:v>0.72571428571428576</c:v>
                </c:pt>
                <c:pt idx="127">
                  <c:v>0.73142857142857143</c:v>
                </c:pt>
                <c:pt idx="128">
                  <c:v>0.7371428571428571</c:v>
                </c:pt>
                <c:pt idx="129">
                  <c:v>0.74285714285714288</c:v>
                </c:pt>
                <c:pt idx="130">
                  <c:v>0.74857142857142855</c:v>
                </c:pt>
                <c:pt idx="131">
                  <c:v>0.75428571428571434</c:v>
                </c:pt>
                <c:pt idx="132">
                  <c:v>0.76</c:v>
                </c:pt>
                <c:pt idx="133">
                  <c:v>0.76571428571428568</c:v>
                </c:pt>
                <c:pt idx="134">
                  <c:v>0.77142857142857146</c:v>
                </c:pt>
                <c:pt idx="135">
                  <c:v>0.77714285714285714</c:v>
                </c:pt>
                <c:pt idx="136">
                  <c:v>0.78285714285714281</c:v>
                </c:pt>
                <c:pt idx="137">
                  <c:v>0.78857142857142859</c:v>
                </c:pt>
                <c:pt idx="138">
                  <c:v>0.79428571428571426</c:v>
                </c:pt>
                <c:pt idx="139">
                  <c:v>0.8</c:v>
                </c:pt>
                <c:pt idx="140">
                  <c:v>0.80571428571428572</c:v>
                </c:pt>
                <c:pt idx="141">
                  <c:v>0.81142857142857139</c:v>
                </c:pt>
                <c:pt idx="142">
                  <c:v>0.81714285714285717</c:v>
                </c:pt>
                <c:pt idx="143">
                  <c:v>0.82285714285714284</c:v>
                </c:pt>
                <c:pt idx="144">
                  <c:v>0.82857142857142863</c:v>
                </c:pt>
                <c:pt idx="145">
                  <c:v>0.8342857142857143</c:v>
                </c:pt>
                <c:pt idx="146">
                  <c:v>0.84</c:v>
                </c:pt>
                <c:pt idx="147">
                  <c:v>0.84571428571428575</c:v>
                </c:pt>
                <c:pt idx="148">
                  <c:v>0.85142857142857142</c:v>
                </c:pt>
                <c:pt idx="149">
                  <c:v>0.8571428571428571</c:v>
                </c:pt>
                <c:pt idx="150">
                  <c:v>0.86285714285714288</c:v>
                </c:pt>
                <c:pt idx="151">
                  <c:v>0.86857142857142855</c:v>
                </c:pt>
                <c:pt idx="152">
                  <c:v>0.87428571428571433</c:v>
                </c:pt>
                <c:pt idx="153">
                  <c:v>0.88</c:v>
                </c:pt>
                <c:pt idx="154">
                  <c:v>0.88571428571428568</c:v>
                </c:pt>
                <c:pt idx="155">
                  <c:v>0.89142857142857146</c:v>
                </c:pt>
                <c:pt idx="156">
                  <c:v>0.89714285714285713</c:v>
                </c:pt>
                <c:pt idx="157">
                  <c:v>0.9028571428571428</c:v>
                </c:pt>
                <c:pt idx="158">
                  <c:v>0.90857142857142859</c:v>
                </c:pt>
                <c:pt idx="159">
                  <c:v>0.91428571428571426</c:v>
                </c:pt>
                <c:pt idx="160">
                  <c:v>0.92</c:v>
                </c:pt>
                <c:pt idx="161">
                  <c:v>0.92571428571428571</c:v>
                </c:pt>
                <c:pt idx="162">
                  <c:v>0.93142857142857138</c:v>
                </c:pt>
                <c:pt idx="163">
                  <c:v>0.93714285714285717</c:v>
                </c:pt>
                <c:pt idx="164">
                  <c:v>0.94285714285714284</c:v>
                </c:pt>
                <c:pt idx="165">
                  <c:v>0.94857142857142862</c:v>
                </c:pt>
                <c:pt idx="166">
                  <c:v>0.95428571428571429</c:v>
                </c:pt>
                <c:pt idx="167">
                  <c:v>0.96</c:v>
                </c:pt>
                <c:pt idx="168">
                  <c:v>0.96571428571428575</c:v>
                </c:pt>
                <c:pt idx="169">
                  <c:v>0.97142857142857142</c:v>
                </c:pt>
                <c:pt idx="170">
                  <c:v>0.97714285714285709</c:v>
                </c:pt>
                <c:pt idx="171">
                  <c:v>0.98285714285714287</c:v>
                </c:pt>
                <c:pt idx="172">
                  <c:v>0.98857142857142855</c:v>
                </c:pt>
                <c:pt idx="173">
                  <c:v>0.99428571428571433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E-4141-A07C-2A139F6D9A29}"/>
            </c:ext>
          </c:extLst>
        </c:ser>
        <c:ser>
          <c:idx val="1"/>
          <c:order val="1"/>
          <c:tx>
            <c:strRef>
              <c:f>{"sorted vs. theoretical"}</c:f>
              <c:strCache>
                <c:ptCount val="1"/>
                <c:pt idx="0">
                  <c:v>sorted vs. theoretical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xVal>
            <c:numRef>
              <c:f>'PPlot-Arrival (2)'!B3:B176</c:f>
              <c:numCache>
                <c:formatCode>General</c:formatCode>
                <c:ptCount val="174"/>
                <c:pt idx="0">
                  <c:v>662</c:v>
                </c:pt>
                <c:pt idx="1">
                  <c:v>676</c:v>
                </c:pt>
                <c:pt idx="2">
                  <c:v>682</c:v>
                </c:pt>
                <c:pt idx="3">
                  <c:v>686</c:v>
                </c:pt>
                <c:pt idx="4">
                  <c:v>686</c:v>
                </c:pt>
                <c:pt idx="5">
                  <c:v>697</c:v>
                </c:pt>
                <c:pt idx="6">
                  <c:v>697</c:v>
                </c:pt>
                <c:pt idx="7">
                  <c:v>699</c:v>
                </c:pt>
                <c:pt idx="8">
                  <c:v>701</c:v>
                </c:pt>
                <c:pt idx="9">
                  <c:v>710</c:v>
                </c:pt>
                <c:pt idx="10">
                  <c:v>718</c:v>
                </c:pt>
                <c:pt idx="11">
                  <c:v>722</c:v>
                </c:pt>
                <c:pt idx="12">
                  <c:v>730</c:v>
                </c:pt>
                <c:pt idx="13">
                  <c:v>731</c:v>
                </c:pt>
                <c:pt idx="14">
                  <c:v>734</c:v>
                </c:pt>
                <c:pt idx="15">
                  <c:v>737</c:v>
                </c:pt>
                <c:pt idx="16">
                  <c:v>738</c:v>
                </c:pt>
                <c:pt idx="17">
                  <c:v>738</c:v>
                </c:pt>
                <c:pt idx="18">
                  <c:v>747</c:v>
                </c:pt>
                <c:pt idx="19">
                  <c:v>757</c:v>
                </c:pt>
                <c:pt idx="20">
                  <c:v>761</c:v>
                </c:pt>
                <c:pt idx="21">
                  <c:v>762</c:v>
                </c:pt>
                <c:pt idx="22">
                  <c:v>764</c:v>
                </c:pt>
                <c:pt idx="23">
                  <c:v>769</c:v>
                </c:pt>
                <c:pt idx="24">
                  <c:v>778</c:v>
                </c:pt>
                <c:pt idx="25">
                  <c:v>787</c:v>
                </c:pt>
                <c:pt idx="26">
                  <c:v>793</c:v>
                </c:pt>
                <c:pt idx="27">
                  <c:v>797</c:v>
                </c:pt>
                <c:pt idx="28">
                  <c:v>798</c:v>
                </c:pt>
                <c:pt idx="29">
                  <c:v>798</c:v>
                </c:pt>
                <c:pt idx="30">
                  <c:v>807</c:v>
                </c:pt>
                <c:pt idx="31">
                  <c:v>811</c:v>
                </c:pt>
                <c:pt idx="32">
                  <c:v>811</c:v>
                </c:pt>
                <c:pt idx="33">
                  <c:v>812</c:v>
                </c:pt>
                <c:pt idx="34">
                  <c:v>816</c:v>
                </c:pt>
                <c:pt idx="35">
                  <c:v>816</c:v>
                </c:pt>
                <c:pt idx="36">
                  <c:v>817</c:v>
                </c:pt>
                <c:pt idx="37">
                  <c:v>820</c:v>
                </c:pt>
                <c:pt idx="38">
                  <c:v>825</c:v>
                </c:pt>
                <c:pt idx="39">
                  <c:v>829</c:v>
                </c:pt>
                <c:pt idx="40">
                  <c:v>830</c:v>
                </c:pt>
                <c:pt idx="41">
                  <c:v>835</c:v>
                </c:pt>
                <c:pt idx="42">
                  <c:v>836</c:v>
                </c:pt>
                <c:pt idx="43">
                  <c:v>837</c:v>
                </c:pt>
                <c:pt idx="44">
                  <c:v>841</c:v>
                </c:pt>
                <c:pt idx="45">
                  <c:v>843</c:v>
                </c:pt>
                <c:pt idx="46">
                  <c:v>843</c:v>
                </c:pt>
                <c:pt idx="47">
                  <c:v>846</c:v>
                </c:pt>
                <c:pt idx="48">
                  <c:v>849</c:v>
                </c:pt>
                <c:pt idx="49">
                  <c:v>850</c:v>
                </c:pt>
                <c:pt idx="50">
                  <c:v>866</c:v>
                </c:pt>
                <c:pt idx="51">
                  <c:v>873</c:v>
                </c:pt>
                <c:pt idx="52">
                  <c:v>885</c:v>
                </c:pt>
                <c:pt idx="53">
                  <c:v>896</c:v>
                </c:pt>
                <c:pt idx="54">
                  <c:v>900</c:v>
                </c:pt>
                <c:pt idx="55">
                  <c:v>911</c:v>
                </c:pt>
                <c:pt idx="56">
                  <c:v>912</c:v>
                </c:pt>
                <c:pt idx="57">
                  <c:v>912</c:v>
                </c:pt>
                <c:pt idx="58">
                  <c:v>913</c:v>
                </c:pt>
                <c:pt idx="59">
                  <c:v>914</c:v>
                </c:pt>
                <c:pt idx="60">
                  <c:v>917</c:v>
                </c:pt>
                <c:pt idx="61">
                  <c:v>918</c:v>
                </c:pt>
                <c:pt idx="62">
                  <c:v>926</c:v>
                </c:pt>
                <c:pt idx="63">
                  <c:v>928</c:v>
                </c:pt>
                <c:pt idx="64">
                  <c:v>930</c:v>
                </c:pt>
                <c:pt idx="65">
                  <c:v>933</c:v>
                </c:pt>
                <c:pt idx="66">
                  <c:v>934</c:v>
                </c:pt>
                <c:pt idx="67">
                  <c:v>941</c:v>
                </c:pt>
                <c:pt idx="68">
                  <c:v>941</c:v>
                </c:pt>
                <c:pt idx="69">
                  <c:v>961</c:v>
                </c:pt>
                <c:pt idx="70">
                  <c:v>968</c:v>
                </c:pt>
                <c:pt idx="71">
                  <c:v>969</c:v>
                </c:pt>
                <c:pt idx="72">
                  <c:v>969</c:v>
                </c:pt>
                <c:pt idx="73">
                  <c:v>976</c:v>
                </c:pt>
                <c:pt idx="74">
                  <c:v>982</c:v>
                </c:pt>
                <c:pt idx="75">
                  <c:v>988</c:v>
                </c:pt>
                <c:pt idx="76">
                  <c:v>994</c:v>
                </c:pt>
                <c:pt idx="77">
                  <c:v>995</c:v>
                </c:pt>
                <c:pt idx="78">
                  <c:v>997</c:v>
                </c:pt>
                <c:pt idx="79">
                  <c:v>997</c:v>
                </c:pt>
                <c:pt idx="80">
                  <c:v>1006</c:v>
                </c:pt>
                <c:pt idx="81">
                  <c:v>1010</c:v>
                </c:pt>
                <c:pt idx="82">
                  <c:v>1012</c:v>
                </c:pt>
                <c:pt idx="83">
                  <c:v>1013</c:v>
                </c:pt>
                <c:pt idx="84">
                  <c:v>1014</c:v>
                </c:pt>
                <c:pt idx="85">
                  <c:v>1016</c:v>
                </c:pt>
                <c:pt idx="86">
                  <c:v>1022</c:v>
                </c:pt>
                <c:pt idx="87">
                  <c:v>1026</c:v>
                </c:pt>
                <c:pt idx="88">
                  <c:v>1036</c:v>
                </c:pt>
                <c:pt idx="89">
                  <c:v>1039</c:v>
                </c:pt>
                <c:pt idx="90">
                  <c:v>1040</c:v>
                </c:pt>
                <c:pt idx="91">
                  <c:v>1045</c:v>
                </c:pt>
                <c:pt idx="92">
                  <c:v>1052</c:v>
                </c:pt>
                <c:pt idx="93">
                  <c:v>1055</c:v>
                </c:pt>
                <c:pt idx="94">
                  <c:v>1062</c:v>
                </c:pt>
                <c:pt idx="95">
                  <c:v>1065</c:v>
                </c:pt>
                <c:pt idx="96">
                  <c:v>1068</c:v>
                </c:pt>
                <c:pt idx="97">
                  <c:v>1071</c:v>
                </c:pt>
                <c:pt idx="98">
                  <c:v>1071</c:v>
                </c:pt>
                <c:pt idx="99">
                  <c:v>1072</c:v>
                </c:pt>
                <c:pt idx="100">
                  <c:v>1072</c:v>
                </c:pt>
                <c:pt idx="101">
                  <c:v>1076</c:v>
                </c:pt>
                <c:pt idx="102">
                  <c:v>1078</c:v>
                </c:pt>
                <c:pt idx="103">
                  <c:v>1081</c:v>
                </c:pt>
                <c:pt idx="104">
                  <c:v>1092</c:v>
                </c:pt>
                <c:pt idx="105">
                  <c:v>1093</c:v>
                </c:pt>
                <c:pt idx="106">
                  <c:v>1096</c:v>
                </c:pt>
                <c:pt idx="107">
                  <c:v>1102</c:v>
                </c:pt>
                <c:pt idx="108">
                  <c:v>1103</c:v>
                </c:pt>
                <c:pt idx="109">
                  <c:v>1103</c:v>
                </c:pt>
                <c:pt idx="110">
                  <c:v>1105</c:v>
                </c:pt>
                <c:pt idx="111">
                  <c:v>1106</c:v>
                </c:pt>
                <c:pt idx="112">
                  <c:v>1118</c:v>
                </c:pt>
                <c:pt idx="113">
                  <c:v>1125</c:v>
                </c:pt>
                <c:pt idx="114">
                  <c:v>1130</c:v>
                </c:pt>
                <c:pt idx="115">
                  <c:v>1139</c:v>
                </c:pt>
                <c:pt idx="116">
                  <c:v>1146</c:v>
                </c:pt>
                <c:pt idx="117">
                  <c:v>1147</c:v>
                </c:pt>
                <c:pt idx="118">
                  <c:v>1157</c:v>
                </c:pt>
                <c:pt idx="119">
                  <c:v>1161</c:v>
                </c:pt>
                <c:pt idx="120">
                  <c:v>1168</c:v>
                </c:pt>
                <c:pt idx="121">
                  <c:v>1178</c:v>
                </c:pt>
                <c:pt idx="122">
                  <c:v>1180</c:v>
                </c:pt>
                <c:pt idx="123">
                  <c:v>1181</c:v>
                </c:pt>
                <c:pt idx="124">
                  <c:v>1182</c:v>
                </c:pt>
                <c:pt idx="125">
                  <c:v>1184</c:v>
                </c:pt>
                <c:pt idx="126">
                  <c:v>1192</c:v>
                </c:pt>
                <c:pt idx="127">
                  <c:v>1201</c:v>
                </c:pt>
                <c:pt idx="128">
                  <c:v>1201</c:v>
                </c:pt>
                <c:pt idx="129">
                  <c:v>1204</c:v>
                </c:pt>
                <c:pt idx="130">
                  <c:v>1206</c:v>
                </c:pt>
                <c:pt idx="131">
                  <c:v>1208</c:v>
                </c:pt>
                <c:pt idx="132">
                  <c:v>1208</c:v>
                </c:pt>
                <c:pt idx="133">
                  <c:v>1210</c:v>
                </c:pt>
                <c:pt idx="134">
                  <c:v>1223</c:v>
                </c:pt>
                <c:pt idx="135">
                  <c:v>1225</c:v>
                </c:pt>
                <c:pt idx="136">
                  <c:v>1228</c:v>
                </c:pt>
                <c:pt idx="137">
                  <c:v>1233</c:v>
                </c:pt>
                <c:pt idx="138">
                  <c:v>1235</c:v>
                </c:pt>
                <c:pt idx="139">
                  <c:v>1251</c:v>
                </c:pt>
                <c:pt idx="140">
                  <c:v>1266</c:v>
                </c:pt>
                <c:pt idx="141">
                  <c:v>1268</c:v>
                </c:pt>
                <c:pt idx="142">
                  <c:v>1271</c:v>
                </c:pt>
                <c:pt idx="143">
                  <c:v>1272</c:v>
                </c:pt>
                <c:pt idx="144">
                  <c:v>1274</c:v>
                </c:pt>
                <c:pt idx="145">
                  <c:v>1274</c:v>
                </c:pt>
                <c:pt idx="146">
                  <c:v>1278</c:v>
                </c:pt>
                <c:pt idx="147">
                  <c:v>1281</c:v>
                </c:pt>
                <c:pt idx="148">
                  <c:v>1282</c:v>
                </c:pt>
                <c:pt idx="149">
                  <c:v>1283</c:v>
                </c:pt>
                <c:pt idx="150">
                  <c:v>1294</c:v>
                </c:pt>
                <c:pt idx="151">
                  <c:v>1295</c:v>
                </c:pt>
                <c:pt idx="152">
                  <c:v>1296</c:v>
                </c:pt>
                <c:pt idx="153">
                  <c:v>1299</c:v>
                </c:pt>
                <c:pt idx="154">
                  <c:v>1318</c:v>
                </c:pt>
                <c:pt idx="155">
                  <c:v>1319</c:v>
                </c:pt>
                <c:pt idx="156">
                  <c:v>1324</c:v>
                </c:pt>
                <c:pt idx="157">
                  <c:v>1331</c:v>
                </c:pt>
                <c:pt idx="158">
                  <c:v>1332</c:v>
                </c:pt>
                <c:pt idx="159">
                  <c:v>1338</c:v>
                </c:pt>
                <c:pt idx="160">
                  <c:v>1340</c:v>
                </c:pt>
                <c:pt idx="161">
                  <c:v>1344</c:v>
                </c:pt>
                <c:pt idx="162">
                  <c:v>1349</c:v>
                </c:pt>
                <c:pt idx="163">
                  <c:v>1352</c:v>
                </c:pt>
                <c:pt idx="164">
                  <c:v>1353</c:v>
                </c:pt>
                <c:pt idx="165">
                  <c:v>1361</c:v>
                </c:pt>
                <c:pt idx="166">
                  <c:v>1362</c:v>
                </c:pt>
                <c:pt idx="167">
                  <c:v>1363</c:v>
                </c:pt>
                <c:pt idx="168">
                  <c:v>1364</c:v>
                </c:pt>
                <c:pt idx="169">
                  <c:v>1368</c:v>
                </c:pt>
                <c:pt idx="170">
                  <c:v>1373</c:v>
                </c:pt>
                <c:pt idx="171">
                  <c:v>1373</c:v>
                </c:pt>
                <c:pt idx="172">
                  <c:v>1376</c:v>
                </c:pt>
                <c:pt idx="173">
                  <c:v>1377</c:v>
                </c:pt>
              </c:numCache>
            </c:numRef>
          </c:xVal>
          <c:yVal>
            <c:numRef>
              <c:f>'PPlot-Arrival (2)'!E3:E176</c:f>
              <c:numCache>
                <c:formatCode>General</c:formatCode>
                <c:ptCount val="174"/>
                <c:pt idx="0">
                  <c:v>0</c:v>
                </c:pt>
                <c:pt idx="1">
                  <c:v>0.96620399191332762</c:v>
                </c:pt>
                <c:pt idx="2">
                  <c:v>0.76583944156279848</c:v>
                </c:pt>
                <c:pt idx="3">
                  <c:v>0.62009428209863793</c:v>
                </c:pt>
                <c:pt idx="4">
                  <c:v>0</c:v>
                </c:pt>
                <c:pt idx="5">
                  <c:v>0.93015930816765635</c:v>
                </c:pt>
                <c:pt idx="6">
                  <c:v>0</c:v>
                </c:pt>
                <c:pt idx="7">
                  <c:v>0.38363507732726865</c:v>
                </c:pt>
                <c:pt idx="8">
                  <c:v>0.38363507732726865</c:v>
                </c:pt>
                <c:pt idx="9">
                  <c:v>0.88668937951644811</c:v>
                </c:pt>
                <c:pt idx="10">
                  <c:v>0.85567164550585062</c:v>
                </c:pt>
                <c:pt idx="11">
                  <c:v>0.62009428209863793</c:v>
                </c:pt>
                <c:pt idx="12">
                  <c:v>0.85567164550585062</c:v>
                </c:pt>
                <c:pt idx="13">
                  <c:v>0.21491088233708699</c:v>
                </c:pt>
                <c:pt idx="14">
                  <c:v>0.51609860670049568</c:v>
                </c:pt>
                <c:pt idx="15">
                  <c:v>0.51609860670049568</c:v>
                </c:pt>
                <c:pt idx="16">
                  <c:v>0.21491088233708699</c:v>
                </c:pt>
                <c:pt idx="17">
                  <c:v>0</c:v>
                </c:pt>
                <c:pt idx="18">
                  <c:v>0.88668937951644811</c:v>
                </c:pt>
                <c:pt idx="19">
                  <c:v>0.91104106494273107</c:v>
                </c:pt>
                <c:pt idx="20">
                  <c:v>0.62009428209863793</c:v>
                </c:pt>
                <c:pt idx="21">
                  <c:v>0.21491088233708699</c:v>
                </c:pt>
                <c:pt idx="22">
                  <c:v>0.38363507732726865</c:v>
                </c:pt>
                <c:pt idx="23">
                  <c:v>0.70174015513772403</c:v>
                </c:pt>
                <c:pt idx="24">
                  <c:v>0.88668937951644811</c:v>
                </c:pt>
                <c:pt idx="25">
                  <c:v>0.88668937951644811</c:v>
                </c:pt>
                <c:pt idx="26">
                  <c:v>0.76583944156279848</c:v>
                </c:pt>
                <c:pt idx="27">
                  <c:v>0.62009428209863793</c:v>
                </c:pt>
                <c:pt idx="28">
                  <c:v>0.21491088233708699</c:v>
                </c:pt>
                <c:pt idx="29">
                  <c:v>0</c:v>
                </c:pt>
                <c:pt idx="30">
                  <c:v>0.88668937951644811</c:v>
                </c:pt>
                <c:pt idx="31">
                  <c:v>0.62009428209863793</c:v>
                </c:pt>
                <c:pt idx="32">
                  <c:v>0</c:v>
                </c:pt>
                <c:pt idx="33">
                  <c:v>0.21491088233708699</c:v>
                </c:pt>
                <c:pt idx="34">
                  <c:v>0.62009428209863793</c:v>
                </c:pt>
                <c:pt idx="35">
                  <c:v>0</c:v>
                </c:pt>
                <c:pt idx="36">
                  <c:v>0.21491088233708699</c:v>
                </c:pt>
                <c:pt idx="37">
                  <c:v>0.51609860670049568</c:v>
                </c:pt>
                <c:pt idx="38">
                  <c:v>0.70174015513772403</c:v>
                </c:pt>
                <c:pt idx="39">
                  <c:v>0.62009428209863793</c:v>
                </c:pt>
                <c:pt idx="40">
                  <c:v>0.21491088233708699</c:v>
                </c:pt>
                <c:pt idx="41">
                  <c:v>0.70174015513772403</c:v>
                </c:pt>
                <c:pt idx="42">
                  <c:v>0.21491088233708699</c:v>
                </c:pt>
                <c:pt idx="43">
                  <c:v>0.21491088233708699</c:v>
                </c:pt>
                <c:pt idx="44">
                  <c:v>0.62009428209863793</c:v>
                </c:pt>
                <c:pt idx="45">
                  <c:v>0.38363507732726865</c:v>
                </c:pt>
                <c:pt idx="46">
                  <c:v>0</c:v>
                </c:pt>
                <c:pt idx="47">
                  <c:v>0.51609860670049568</c:v>
                </c:pt>
                <c:pt idx="48">
                  <c:v>0.51609860670049568</c:v>
                </c:pt>
                <c:pt idx="49">
                  <c:v>0.21491088233708699</c:v>
                </c:pt>
                <c:pt idx="50">
                  <c:v>0.97916932608901119</c:v>
                </c:pt>
                <c:pt idx="51">
                  <c:v>0.81616309378508245</c:v>
                </c:pt>
                <c:pt idx="52">
                  <c:v>0.94516883287237796</c:v>
                </c:pt>
                <c:pt idx="53">
                  <c:v>0.93015930816765635</c:v>
                </c:pt>
                <c:pt idx="54">
                  <c:v>0.62009428209863793</c:v>
                </c:pt>
                <c:pt idx="55">
                  <c:v>0.93015930816765635</c:v>
                </c:pt>
                <c:pt idx="56">
                  <c:v>0.21491088233708699</c:v>
                </c:pt>
                <c:pt idx="57">
                  <c:v>0</c:v>
                </c:pt>
                <c:pt idx="58">
                  <c:v>0.21491088233708699</c:v>
                </c:pt>
                <c:pt idx="59">
                  <c:v>0.21491088233708699</c:v>
                </c:pt>
                <c:pt idx="60">
                  <c:v>0.51609860670049568</c:v>
                </c:pt>
                <c:pt idx="61">
                  <c:v>0.21491088233708699</c:v>
                </c:pt>
                <c:pt idx="62">
                  <c:v>0.85567164550585062</c:v>
                </c:pt>
                <c:pt idx="63">
                  <c:v>0.38363507732726865</c:v>
                </c:pt>
                <c:pt idx="64">
                  <c:v>0.38363507732726865</c:v>
                </c:pt>
                <c:pt idx="65">
                  <c:v>0.51609860670049568</c:v>
                </c:pt>
                <c:pt idx="66">
                  <c:v>0.21491088233708699</c:v>
                </c:pt>
                <c:pt idx="67">
                  <c:v>0.81616309378508245</c:v>
                </c:pt>
                <c:pt idx="68">
                  <c:v>0</c:v>
                </c:pt>
                <c:pt idx="69">
                  <c:v>0.99208630787347662</c:v>
                </c:pt>
                <c:pt idx="70">
                  <c:v>0.81616309378508245</c:v>
                </c:pt>
                <c:pt idx="71">
                  <c:v>0.21491088233708699</c:v>
                </c:pt>
                <c:pt idx="72">
                  <c:v>0</c:v>
                </c:pt>
                <c:pt idx="73">
                  <c:v>0.81616309378508245</c:v>
                </c:pt>
                <c:pt idx="74">
                  <c:v>0.76583944156279848</c:v>
                </c:pt>
                <c:pt idx="75">
                  <c:v>0.76583944156279848</c:v>
                </c:pt>
                <c:pt idx="76">
                  <c:v>0.76583944156279848</c:v>
                </c:pt>
                <c:pt idx="77">
                  <c:v>0.21491088233708699</c:v>
                </c:pt>
                <c:pt idx="78">
                  <c:v>0.38363507732726865</c:v>
                </c:pt>
                <c:pt idx="79">
                  <c:v>0</c:v>
                </c:pt>
                <c:pt idx="80">
                  <c:v>0.88668937951644811</c:v>
                </c:pt>
                <c:pt idx="81">
                  <c:v>0.62009428209863793</c:v>
                </c:pt>
                <c:pt idx="82">
                  <c:v>0.38363507732726865</c:v>
                </c:pt>
                <c:pt idx="83">
                  <c:v>0.21491088233708699</c:v>
                </c:pt>
                <c:pt idx="84">
                  <c:v>0.21491088233708699</c:v>
                </c:pt>
                <c:pt idx="85">
                  <c:v>0.38363507732726865</c:v>
                </c:pt>
                <c:pt idx="86">
                  <c:v>0.76583944156279848</c:v>
                </c:pt>
                <c:pt idx="87">
                  <c:v>0.62009428209863793</c:v>
                </c:pt>
                <c:pt idx="88">
                  <c:v>0.91104106494273107</c:v>
                </c:pt>
                <c:pt idx="89">
                  <c:v>0.51609860670049568</c:v>
                </c:pt>
                <c:pt idx="90">
                  <c:v>0.21491088233708699</c:v>
                </c:pt>
                <c:pt idx="91">
                  <c:v>0.70174015513772403</c:v>
                </c:pt>
                <c:pt idx="92">
                  <c:v>0.81616309378508245</c:v>
                </c:pt>
                <c:pt idx="93">
                  <c:v>0.51609860670049568</c:v>
                </c:pt>
                <c:pt idx="94">
                  <c:v>0.81616309378508245</c:v>
                </c:pt>
                <c:pt idx="95">
                  <c:v>0.51609860670049568</c:v>
                </c:pt>
                <c:pt idx="96">
                  <c:v>0.51609860670049568</c:v>
                </c:pt>
                <c:pt idx="97">
                  <c:v>0.51609860670049568</c:v>
                </c:pt>
                <c:pt idx="98">
                  <c:v>0</c:v>
                </c:pt>
                <c:pt idx="99">
                  <c:v>0.21491088233708699</c:v>
                </c:pt>
                <c:pt idx="100">
                  <c:v>0</c:v>
                </c:pt>
                <c:pt idx="101">
                  <c:v>0.62009428209863793</c:v>
                </c:pt>
                <c:pt idx="102">
                  <c:v>0.38363507732726865</c:v>
                </c:pt>
                <c:pt idx="103">
                  <c:v>0.51609860670049568</c:v>
                </c:pt>
                <c:pt idx="104">
                  <c:v>0.93015930816765635</c:v>
                </c:pt>
                <c:pt idx="105">
                  <c:v>0.21491088233708699</c:v>
                </c:pt>
                <c:pt idx="106">
                  <c:v>0.51609860670049568</c:v>
                </c:pt>
                <c:pt idx="107">
                  <c:v>0.76583944156279848</c:v>
                </c:pt>
                <c:pt idx="108">
                  <c:v>0.21491088233708699</c:v>
                </c:pt>
                <c:pt idx="109">
                  <c:v>0</c:v>
                </c:pt>
                <c:pt idx="110">
                  <c:v>0.38363507732726865</c:v>
                </c:pt>
                <c:pt idx="111">
                  <c:v>0.21491088233708699</c:v>
                </c:pt>
                <c:pt idx="112">
                  <c:v>0.94516883287237796</c:v>
                </c:pt>
                <c:pt idx="113">
                  <c:v>0.81616309378508245</c:v>
                </c:pt>
                <c:pt idx="114">
                  <c:v>0.70174015513772403</c:v>
                </c:pt>
                <c:pt idx="115">
                  <c:v>0.88668937951644811</c:v>
                </c:pt>
                <c:pt idx="116">
                  <c:v>0.81616309378508245</c:v>
                </c:pt>
                <c:pt idx="117">
                  <c:v>0.21491088233708699</c:v>
                </c:pt>
                <c:pt idx="118">
                  <c:v>0.91104106494273107</c:v>
                </c:pt>
                <c:pt idx="119">
                  <c:v>0.62009428209863793</c:v>
                </c:pt>
                <c:pt idx="120">
                  <c:v>0.81616309378508245</c:v>
                </c:pt>
                <c:pt idx="121">
                  <c:v>0.91104106494273107</c:v>
                </c:pt>
                <c:pt idx="122">
                  <c:v>0.38363507732726865</c:v>
                </c:pt>
                <c:pt idx="123">
                  <c:v>0.21491088233708699</c:v>
                </c:pt>
                <c:pt idx="124">
                  <c:v>0.21491088233708699</c:v>
                </c:pt>
                <c:pt idx="125">
                  <c:v>0.38363507732726865</c:v>
                </c:pt>
                <c:pt idx="126">
                  <c:v>0.85567164550585062</c:v>
                </c:pt>
                <c:pt idx="127">
                  <c:v>0.88668937951644811</c:v>
                </c:pt>
                <c:pt idx="128">
                  <c:v>0</c:v>
                </c:pt>
                <c:pt idx="129">
                  <c:v>0.51609860670049568</c:v>
                </c:pt>
                <c:pt idx="130">
                  <c:v>0.38363507732726865</c:v>
                </c:pt>
                <c:pt idx="131">
                  <c:v>0.38363507732726865</c:v>
                </c:pt>
                <c:pt idx="132">
                  <c:v>0</c:v>
                </c:pt>
                <c:pt idx="133">
                  <c:v>0.38363507732726865</c:v>
                </c:pt>
                <c:pt idx="134">
                  <c:v>0.95695264737934749</c:v>
                </c:pt>
                <c:pt idx="135">
                  <c:v>0.38363507732726865</c:v>
                </c:pt>
                <c:pt idx="136">
                  <c:v>0.51609860670049568</c:v>
                </c:pt>
                <c:pt idx="137">
                  <c:v>0.70174015513772403</c:v>
                </c:pt>
                <c:pt idx="138">
                  <c:v>0.38363507732726865</c:v>
                </c:pt>
                <c:pt idx="139">
                  <c:v>0.97916932608901119</c:v>
                </c:pt>
                <c:pt idx="140">
                  <c:v>0.97346712183070572</c:v>
                </c:pt>
                <c:pt idx="141">
                  <c:v>0.38363507732726865</c:v>
                </c:pt>
                <c:pt idx="142">
                  <c:v>0.51609860670049568</c:v>
                </c:pt>
                <c:pt idx="143">
                  <c:v>0.21491088233708699</c:v>
                </c:pt>
                <c:pt idx="144">
                  <c:v>0.38363507732726865</c:v>
                </c:pt>
                <c:pt idx="145">
                  <c:v>0</c:v>
                </c:pt>
                <c:pt idx="146">
                  <c:v>0.62009428209863793</c:v>
                </c:pt>
                <c:pt idx="147">
                  <c:v>0.51609860670049568</c:v>
                </c:pt>
                <c:pt idx="148">
                  <c:v>0.21491088233708699</c:v>
                </c:pt>
                <c:pt idx="149">
                  <c:v>0.21491088233708699</c:v>
                </c:pt>
                <c:pt idx="150">
                  <c:v>0.93015930816765635</c:v>
                </c:pt>
                <c:pt idx="151">
                  <c:v>0.21491088233708699</c:v>
                </c:pt>
                <c:pt idx="152">
                  <c:v>0.21491088233708699</c:v>
                </c:pt>
                <c:pt idx="153">
                  <c:v>0.51609860670049568</c:v>
                </c:pt>
                <c:pt idx="154">
                  <c:v>0.9899200078711049</c:v>
                </c:pt>
                <c:pt idx="155">
                  <c:v>0.21491088233708699</c:v>
                </c:pt>
                <c:pt idx="156">
                  <c:v>0.70174015513772403</c:v>
                </c:pt>
                <c:pt idx="157">
                  <c:v>0.81616309378508245</c:v>
                </c:pt>
                <c:pt idx="158">
                  <c:v>0.21491088233708699</c:v>
                </c:pt>
                <c:pt idx="159">
                  <c:v>0.76583944156279848</c:v>
                </c:pt>
                <c:pt idx="160">
                  <c:v>0.38363507732726865</c:v>
                </c:pt>
                <c:pt idx="161">
                  <c:v>0.62009428209863793</c:v>
                </c:pt>
                <c:pt idx="162">
                  <c:v>0.70174015513772403</c:v>
                </c:pt>
                <c:pt idx="163">
                  <c:v>0.51609860670049568</c:v>
                </c:pt>
                <c:pt idx="164">
                  <c:v>0.21491088233708699</c:v>
                </c:pt>
                <c:pt idx="165">
                  <c:v>0.85567164550585062</c:v>
                </c:pt>
                <c:pt idx="166">
                  <c:v>0.21491088233708699</c:v>
                </c:pt>
                <c:pt idx="167">
                  <c:v>0.21491088233708699</c:v>
                </c:pt>
                <c:pt idx="168">
                  <c:v>0.21491088233708699</c:v>
                </c:pt>
                <c:pt idx="169">
                  <c:v>0.62009428209863793</c:v>
                </c:pt>
                <c:pt idx="170">
                  <c:v>0.70174015513772403</c:v>
                </c:pt>
                <c:pt idx="171">
                  <c:v>0</c:v>
                </c:pt>
                <c:pt idx="172">
                  <c:v>0.51609860670049568</c:v>
                </c:pt>
                <c:pt idx="173">
                  <c:v>0.21491088233708699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9E-4141-A07C-2A139F6D9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119048"/>
        <c:axId val="1364121096"/>
      </c:scatterChart>
      <c:valAx>
        <c:axId val="1364119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21096"/>
        <c:crosses val="autoZero"/>
        <c:crossBetween val="midCat"/>
      </c:valAx>
      <c:valAx>
        <c:axId val="136412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119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EMPIRICIAL VS THEORITICAL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{"EMPIRICIAL VS THEORITICAL "}</c:f>
              <c:strCache>
                <c:ptCount val="1"/>
                <c:pt idx="0">
                  <c:v>EMPIRICIAL VS THEORITICAL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'PPlot-Arrival'!E3:E176</c:f>
              <c:numCache>
                <c:formatCode>General</c:formatCode>
                <c:ptCount val="174"/>
                <c:pt idx="0">
                  <c:v>0</c:v>
                </c:pt>
                <c:pt idx="1">
                  <c:v>0.96620399193317985</c:v>
                </c:pt>
                <c:pt idx="2">
                  <c:v>0.765839441621748</c:v>
                </c:pt>
                <c:pt idx="3">
                  <c:v>0.62009428216239826</c:v>
                </c:pt>
                <c:pt idx="4">
                  <c:v>0</c:v>
                </c:pt>
                <c:pt idx="5">
                  <c:v>0.93015930819989057</c:v>
                </c:pt>
                <c:pt idx="6">
                  <c:v>0</c:v>
                </c:pt>
                <c:pt idx="7">
                  <c:v>0.38363507737899155</c:v>
                </c:pt>
                <c:pt idx="8">
                  <c:v>0.38363507737899155</c:v>
                </c:pt>
                <c:pt idx="9">
                  <c:v>0.88668937955923677</c:v>
                </c:pt>
                <c:pt idx="10">
                  <c:v>0.85567164555429653</c:v>
                </c:pt>
                <c:pt idx="11">
                  <c:v>0.62009428216239826</c:v>
                </c:pt>
                <c:pt idx="12">
                  <c:v>0.85567164555429653</c:v>
                </c:pt>
                <c:pt idx="13">
                  <c:v>0.21491088237002773</c:v>
                </c:pt>
                <c:pt idx="14">
                  <c:v>0.5160986067614064</c:v>
                </c:pt>
                <c:pt idx="15">
                  <c:v>0.5160986067614064</c:v>
                </c:pt>
                <c:pt idx="16">
                  <c:v>0.21491088237002773</c:v>
                </c:pt>
                <c:pt idx="17">
                  <c:v>0</c:v>
                </c:pt>
                <c:pt idx="18">
                  <c:v>0.88668937955923677</c:v>
                </c:pt>
                <c:pt idx="19">
                  <c:v>0.91104106498005644</c:v>
                </c:pt>
                <c:pt idx="20">
                  <c:v>0.62009428216239826</c:v>
                </c:pt>
                <c:pt idx="21">
                  <c:v>0.21491088237002773</c:v>
                </c:pt>
                <c:pt idx="22">
                  <c:v>0.38363507737899155</c:v>
                </c:pt>
                <c:pt idx="23">
                  <c:v>0.70174015520029598</c:v>
                </c:pt>
                <c:pt idx="24">
                  <c:v>0.88668937955923677</c:v>
                </c:pt>
                <c:pt idx="25">
                  <c:v>0.88668937955923677</c:v>
                </c:pt>
                <c:pt idx="26">
                  <c:v>0.765839441621748</c:v>
                </c:pt>
                <c:pt idx="27">
                  <c:v>0.62009428216239826</c:v>
                </c:pt>
                <c:pt idx="28">
                  <c:v>0.21491088237002773</c:v>
                </c:pt>
                <c:pt idx="29">
                  <c:v>0</c:v>
                </c:pt>
                <c:pt idx="30">
                  <c:v>0.88668937955923677</c:v>
                </c:pt>
                <c:pt idx="31">
                  <c:v>0.62009428216239826</c:v>
                </c:pt>
                <c:pt idx="32">
                  <c:v>0</c:v>
                </c:pt>
                <c:pt idx="33">
                  <c:v>0.21491088237002773</c:v>
                </c:pt>
                <c:pt idx="34">
                  <c:v>0.62009428216239826</c:v>
                </c:pt>
                <c:pt idx="35">
                  <c:v>0</c:v>
                </c:pt>
                <c:pt idx="36">
                  <c:v>0.21491088237002773</c:v>
                </c:pt>
                <c:pt idx="37">
                  <c:v>0.5160986067614064</c:v>
                </c:pt>
                <c:pt idx="38">
                  <c:v>0.70174015520029598</c:v>
                </c:pt>
                <c:pt idx="39">
                  <c:v>0.62009428216239826</c:v>
                </c:pt>
                <c:pt idx="40">
                  <c:v>0.21491088237002773</c:v>
                </c:pt>
                <c:pt idx="41">
                  <c:v>0.70174015520029598</c:v>
                </c:pt>
                <c:pt idx="42">
                  <c:v>0.21491088237002773</c:v>
                </c:pt>
                <c:pt idx="43">
                  <c:v>0.21491088237002773</c:v>
                </c:pt>
                <c:pt idx="44">
                  <c:v>0.62009428216239826</c:v>
                </c:pt>
                <c:pt idx="45">
                  <c:v>0.38363507737899155</c:v>
                </c:pt>
                <c:pt idx="46">
                  <c:v>0</c:v>
                </c:pt>
                <c:pt idx="47">
                  <c:v>0.5160986067614064</c:v>
                </c:pt>
                <c:pt idx="48">
                  <c:v>0.5160986067614064</c:v>
                </c:pt>
                <c:pt idx="49">
                  <c:v>0.21491088237002773</c:v>
                </c:pt>
                <c:pt idx="50">
                  <c:v>0.97916932610299534</c:v>
                </c:pt>
                <c:pt idx="51">
                  <c:v>0.81616309383907648</c:v>
                </c:pt>
                <c:pt idx="52">
                  <c:v>0.94516883289998521</c:v>
                </c:pt>
                <c:pt idx="53">
                  <c:v>0.93015930819989057</c:v>
                </c:pt>
                <c:pt idx="54">
                  <c:v>0.62009428216239826</c:v>
                </c:pt>
                <c:pt idx="55">
                  <c:v>0.93015930819989057</c:v>
                </c:pt>
                <c:pt idx="56">
                  <c:v>0.21491088237002773</c:v>
                </c:pt>
                <c:pt idx="57">
                  <c:v>0</c:v>
                </c:pt>
                <c:pt idx="58">
                  <c:v>0.21491088237002773</c:v>
                </c:pt>
                <c:pt idx="59">
                  <c:v>0.21491088237002773</c:v>
                </c:pt>
                <c:pt idx="60">
                  <c:v>0.5160986067614064</c:v>
                </c:pt>
                <c:pt idx="61">
                  <c:v>0.21491088237002773</c:v>
                </c:pt>
                <c:pt idx="62">
                  <c:v>0.85567164555429653</c:v>
                </c:pt>
                <c:pt idx="63">
                  <c:v>0.38363507737899155</c:v>
                </c:pt>
                <c:pt idx="64">
                  <c:v>0.38363507737899155</c:v>
                </c:pt>
                <c:pt idx="65">
                  <c:v>0.5160986067614064</c:v>
                </c:pt>
                <c:pt idx="66">
                  <c:v>0.21491088237002773</c:v>
                </c:pt>
                <c:pt idx="67">
                  <c:v>0.81616309383907648</c:v>
                </c:pt>
                <c:pt idx="68">
                  <c:v>0</c:v>
                </c:pt>
                <c:pt idx="69">
                  <c:v>0.99208630788011742</c:v>
                </c:pt>
                <c:pt idx="70">
                  <c:v>0.81616309383907648</c:v>
                </c:pt>
                <c:pt idx="71">
                  <c:v>0.21491088237002773</c:v>
                </c:pt>
                <c:pt idx="72">
                  <c:v>0</c:v>
                </c:pt>
                <c:pt idx="73">
                  <c:v>0.81616309383907648</c:v>
                </c:pt>
                <c:pt idx="74">
                  <c:v>0.765839441621748</c:v>
                </c:pt>
                <c:pt idx="75">
                  <c:v>0.765839441621748</c:v>
                </c:pt>
                <c:pt idx="76">
                  <c:v>0.765839441621748</c:v>
                </c:pt>
                <c:pt idx="77">
                  <c:v>0.21491088237002773</c:v>
                </c:pt>
                <c:pt idx="78">
                  <c:v>0.38363507737899155</c:v>
                </c:pt>
                <c:pt idx="79">
                  <c:v>0</c:v>
                </c:pt>
                <c:pt idx="80">
                  <c:v>0.88668937955923677</c:v>
                </c:pt>
                <c:pt idx="81">
                  <c:v>0.62009428216239826</c:v>
                </c:pt>
                <c:pt idx="82">
                  <c:v>0.38363507737899155</c:v>
                </c:pt>
                <c:pt idx="83">
                  <c:v>0.21491088237002773</c:v>
                </c:pt>
                <c:pt idx="84">
                  <c:v>0.21491088237002773</c:v>
                </c:pt>
                <c:pt idx="85">
                  <c:v>0.38363507737899155</c:v>
                </c:pt>
                <c:pt idx="86">
                  <c:v>0.765839441621748</c:v>
                </c:pt>
                <c:pt idx="87">
                  <c:v>0.62009428216239826</c:v>
                </c:pt>
                <c:pt idx="88">
                  <c:v>0.91104106498005644</c:v>
                </c:pt>
                <c:pt idx="89">
                  <c:v>0.5160986067614064</c:v>
                </c:pt>
                <c:pt idx="90">
                  <c:v>0.21491088237002773</c:v>
                </c:pt>
                <c:pt idx="91">
                  <c:v>0.70174015520029598</c:v>
                </c:pt>
                <c:pt idx="92">
                  <c:v>0.81616309383907648</c:v>
                </c:pt>
                <c:pt idx="93">
                  <c:v>0.5160986067614064</c:v>
                </c:pt>
                <c:pt idx="94">
                  <c:v>0.81616309383907648</c:v>
                </c:pt>
                <c:pt idx="95">
                  <c:v>0.5160986067614064</c:v>
                </c:pt>
                <c:pt idx="96">
                  <c:v>0.5160986067614064</c:v>
                </c:pt>
                <c:pt idx="97">
                  <c:v>0.5160986067614064</c:v>
                </c:pt>
                <c:pt idx="98">
                  <c:v>0</c:v>
                </c:pt>
                <c:pt idx="99">
                  <c:v>0.21491088237002773</c:v>
                </c:pt>
                <c:pt idx="100">
                  <c:v>0</c:v>
                </c:pt>
                <c:pt idx="101">
                  <c:v>0.62009428216239826</c:v>
                </c:pt>
                <c:pt idx="102">
                  <c:v>0.38363507737899155</c:v>
                </c:pt>
                <c:pt idx="103">
                  <c:v>0.5160986067614064</c:v>
                </c:pt>
                <c:pt idx="104">
                  <c:v>0.93015930819989057</c:v>
                </c:pt>
                <c:pt idx="105">
                  <c:v>0.21491088237002773</c:v>
                </c:pt>
                <c:pt idx="106">
                  <c:v>0.5160986067614064</c:v>
                </c:pt>
                <c:pt idx="107">
                  <c:v>0.765839441621748</c:v>
                </c:pt>
                <c:pt idx="108">
                  <c:v>0.21491088237002773</c:v>
                </c:pt>
                <c:pt idx="109">
                  <c:v>0</c:v>
                </c:pt>
                <c:pt idx="110">
                  <c:v>0.38363507737899155</c:v>
                </c:pt>
                <c:pt idx="111">
                  <c:v>0.21491088237002773</c:v>
                </c:pt>
                <c:pt idx="112">
                  <c:v>0.94516883289998521</c:v>
                </c:pt>
                <c:pt idx="113">
                  <c:v>0.81616309383907648</c:v>
                </c:pt>
                <c:pt idx="114">
                  <c:v>0.70174015520029598</c:v>
                </c:pt>
                <c:pt idx="115">
                  <c:v>0.88668937955923677</c:v>
                </c:pt>
                <c:pt idx="116">
                  <c:v>0.81616309383907648</c:v>
                </c:pt>
                <c:pt idx="117">
                  <c:v>0.21491088237002773</c:v>
                </c:pt>
                <c:pt idx="118">
                  <c:v>0.91104106498005644</c:v>
                </c:pt>
                <c:pt idx="119">
                  <c:v>0.62009428216239826</c:v>
                </c:pt>
                <c:pt idx="120">
                  <c:v>0.81616309383907648</c:v>
                </c:pt>
                <c:pt idx="121">
                  <c:v>0.91104106498005644</c:v>
                </c:pt>
                <c:pt idx="122">
                  <c:v>0.38363507737899155</c:v>
                </c:pt>
                <c:pt idx="123">
                  <c:v>0.21491088237002773</c:v>
                </c:pt>
                <c:pt idx="124">
                  <c:v>0.21491088237002773</c:v>
                </c:pt>
                <c:pt idx="125">
                  <c:v>0.38363507737899155</c:v>
                </c:pt>
                <c:pt idx="126">
                  <c:v>0.85567164555429653</c:v>
                </c:pt>
                <c:pt idx="127">
                  <c:v>0.88668937955923677</c:v>
                </c:pt>
                <c:pt idx="128">
                  <c:v>0</c:v>
                </c:pt>
                <c:pt idx="129">
                  <c:v>0.5160986067614064</c:v>
                </c:pt>
                <c:pt idx="130">
                  <c:v>0.38363507737899155</c:v>
                </c:pt>
                <c:pt idx="131">
                  <c:v>0.38363507737899155</c:v>
                </c:pt>
                <c:pt idx="132">
                  <c:v>0</c:v>
                </c:pt>
                <c:pt idx="133">
                  <c:v>0.38363507737899155</c:v>
                </c:pt>
                <c:pt idx="134">
                  <c:v>0.95695264740282782</c:v>
                </c:pt>
                <c:pt idx="135">
                  <c:v>0.38363507737899155</c:v>
                </c:pt>
                <c:pt idx="136">
                  <c:v>0.5160986067614064</c:v>
                </c:pt>
                <c:pt idx="137">
                  <c:v>0.70174015520029598</c:v>
                </c:pt>
                <c:pt idx="138">
                  <c:v>0.38363507737899155</c:v>
                </c:pt>
                <c:pt idx="139">
                  <c:v>0.97916932610299534</c:v>
                </c:pt>
                <c:pt idx="140">
                  <c:v>0.97346712184740469</c:v>
                </c:pt>
                <c:pt idx="141">
                  <c:v>0.38363507737899155</c:v>
                </c:pt>
                <c:pt idx="142">
                  <c:v>0.5160986067614064</c:v>
                </c:pt>
                <c:pt idx="143">
                  <c:v>0.21491088237002773</c:v>
                </c:pt>
                <c:pt idx="144">
                  <c:v>0.38363507737899155</c:v>
                </c:pt>
                <c:pt idx="145">
                  <c:v>0</c:v>
                </c:pt>
                <c:pt idx="146">
                  <c:v>0.62009428216239826</c:v>
                </c:pt>
                <c:pt idx="147">
                  <c:v>0.5160986067614064</c:v>
                </c:pt>
                <c:pt idx="148">
                  <c:v>0.21491088237002773</c:v>
                </c:pt>
                <c:pt idx="149">
                  <c:v>0.21491088237002773</c:v>
                </c:pt>
                <c:pt idx="150">
                  <c:v>0.93015930819989057</c:v>
                </c:pt>
                <c:pt idx="151">
                  <c:v>0.21491088237002773</c:v>
                </c:pt>
                <c:pt idx="152">
                  <c:v>0.21491088237002773</c:v>
                </c:pt>
                <c:pt idx="153">
                  <c:v>0.5160986067614064</c:v>
                </c:pt>
                <c:pt idx="154">
                  <c:v>0.9899200078791407</c:v>
                </c:pt>
                <c:pt idx="155">
                  <c:v>0.21491088237002773</c:v>
                </c:pt>
                <c:pt idx="156">
                  <c:v>0.70174015520029598</c:v>
                </c:pt>
                <c:pt idx="157">
                  <c:v>0.81616309383907648</c:v>
                </c:pt>
                <c:pt idx="158">
                  <c:v>0.21491088237002773</c:v>
                </c:pt>
                <c:pt idx="159">
                  <c:v>0.765839441621748</c:v>
                </c:pt>
                <c:pt idx="160">
                  <c:v>0.38363507737899155</c:v>
                </c:pt>
                <c:pt idx="161">
                  <c:v>0.62009428216239826</c:v>
                </c:pt>
                <c:pt idx="162">
                  <c:v>0.70174015520029598</c:v>
                </c:pt>
                <c:pt idx="163">
                  <c:v>0.5160986067614064</c:v>
                </c:pt>
                <c:pt idx="164">
                  <c:v>0.21491088237002773</c:v>
                </c:pt>
                <c:pt idx="165">
                  <c:v>0.85567164555429653</c:v>
                </c:pt>
                <c:pt idx="166">
                  <c:v>0.21491088237002773</c:v>
                </c:pt>
                <c:pt idx="167">
                  <c:v>0.21491088237002773</c:v>
                </c:pt>
                <c:pt idx="168">
                  <c:v>0.21491088237002773</c:v>
                </c:pt>
                <c:pt idx="169">
                  <c:v>0.62009428216239826</c:v>
                </c:pt>
                <c:pt idx="170">
                  <c:v>0.70174015520029598</c:v>
                </c:pt>
                <c:pt idx="171">
                  <c:v>0</c:v>
                </c:pt>
                <c:pt idx="172">
                  <c:v>0.5160986067614064</c:v>
                </c:pt>
                <c:pt idx="173">
                  <c:v>0.21491088237002773</c:v>
                </c:pt>
              </c:numCache>
            </c:numRef>
          </c:xVal>
          <c:yVal>
            <c:numRef>
              <c:f>'PPlot-Arrival'!$C$3:$C$176</c:f>
              <c:numCache>
                <c:formatCode>General</c:formatCode>
                <c:ptCount val="174"/>
                <c:pt idx="0">
                  <c:v>8.6206896551724137E-3</c:v>
                </c:pt>
                <c:pt idx="1">
                  <c:v>1.4367816091954023E-2</c:v>
                </c:pt>
                <c:pt idx="2">
                  <c:v>2.0114942528735632E-2</c:v>
                </c:pt>
                <c:pt idx="3">
                  <c:v>2.5862068965517241E-2</c:v>
                </c:pt>
                <c:pt idx="4">
                  <c:v>3.1609195402298854E-2</c:v>
                </c:pt>
                <c:pt idx="5">
                  <c:v>3.7356321839080463E-2</c:v>
                </c:pt>
                <c:pt idx="6">
                  <c:v>4.3103448275862072E-2</c:v>
                </c:pt>
                <c:pt idx="7">
                  <c:v>4.8850574712643681E-2</c:v>
                </c:pt>
                <c:pt idx="8">
                  <c:v>5.459770114942529E-2</c:v>
                </c:pt>
                <c:pt idx="9">
                  <c:v>6.0344827586206899E-2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8.3333333333333329E-2</c:v>
                </c:pt>
                <c:pt idx="14">
                  <c:v>8.9080459770114945E-2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0.10632183908045977</c:v>
                </c:pt>
                <c:pt idx="18">
                  <c:v>0.11206896551724138</c:v>
                </c:pt>
                <c:pt idx="19">
                  <c:v>0.11781609195402298</c:v>
                </c:pt>
                <c:pt idx="20">
                  <c:v>0.1235632183908046</c:v>
                </c:pt>
                <c:pt idx="21">
                  <c:v>0.12931034482758622</c:v>
                </c:pt>
                <c:pt idx="22">
                  <c:v>0.13505747126436782</c:v>
                </c:pt>
                <c:pt idx="23">
                  <c:v>0.14080459770114942</c:v>
                </c:pt>
                <c:pt idx="24">
                  <c:v>0.14655172413793102</c:v>
                </c:pt>
                <c:pt idx="25">
                  <c:v>0.15229885057471265</c:v>
                </c:pt>
                <c:pt idx="26">
                  <c:v>0.15804597701149425</c:v>
                </c:pt>
                <c:pt idx="27">
                  <c:v>0.16379310344827586</c:v>
                </c:pt>
                <c:pt idx="28">
                  <c:v>0.16954022988505746</c:v>
                </c:pt>
                <c:pt idx="29">
                  <c:v>0.17528735632183909</c:v>
                </c:pt>
                <c:pt idx="30">
                  <c:v>0.18103448275862069</c:v>
                </c:pt>
                <c:pt idx="31">
                  <c:v>0.18678160919540229</c:v>
                </c:pt>
                <c:pt idx="32">
                  <c:v>0.19252873563218389</c:v>
                </c:pt>
                <c:pt idx="33">
                  <c:v>0.19827586206896552</c:v>
                </c:pt>
                <c:pt idx="34">
                  <c:v>0.20402298850574713</c:v>
                </c:pt>
                <c:pt idx="35">
                  <c:v>0.20977011494252873</c:v>
                </c:pt>
                <c:pt idx="36">
                  <c:v>0.21551724137931033</c:v>
                </c:pt>
                <c:pt idx="37">
                  <c:v>0.22126436781609196</c:v>
                </c:pt>
                <c:pt idx="38">
                  <c:v>0.22701149425287356</c:v>
                </c:pt>
                <c:pt idx="39">
                  <c:v>0.23275862068965517</c:v>
                </c:pt>
                <c:pt idx="40">
                  <c:v>0.23850574712643677</c:v>
                </c:pt>
                <c:pt idx="41">
                  <c:v>0.2442528735632184</c:v>
                </c:pt>
                <c:pt idx="42">
                  <c:v>0.25</c:v>
                </c:pt>
                <c:pt idx="43">
                  <c:v>0.2557471264367816</c:v>
                </c:pt>
                <c:pt idx="44">
                  <c:v>0.2614942528735632</c:v>
                </c:pt>
                <c:pt idx="45">
                  <c:v>0.26724137931034481</c:v>
                </c:pt>
                <c:pt idx="46">
                  <c:v>0.27298850574712646</c:v>
                </c:pt>
                <c:pt idx="47">
                  <c:v>0.27873563218390807</c:v>
                </c:pt>
                <c:pt idx="48">
                  <c:v>0.28448275862068967</c:v>
                </c:pt>
                <c:pt idx="49">
                  <c:v>0.29022988505747127</c:v>
                </c:pt>
                <c:pt idx="50">
                  <c:v>0.29597701149425287</c:v>
                </c:pt>
                <c:pt idx="51">
                  <c:v>0.30172413793103448</c:v>
                </c:pt>
                <c:pt idx="52">
                  <c:v>0.30747126436781608</c:v>
                </c:pt>
                <c:pt idx="53">
                  <c:v>0.31321839080459768</c:v>
                </c:pt>
                <c:pt idx="54">
                  <c:v>0.31896551724137934</c:v>
                </c:pt>
                <c:pt idx="55">
                  <c:v>0.32471264367816094</c:v>
                </c:pt>
                <c:pt idx="56">
                  <c:v>0.33045977011494254</c:v>
                </c:pt>
                <c:pt idx="57">
                  <c:v>0.33620689655172414</c:v>
                </c:pt>
                <c:pt idx="58">
                  <c:v>0.34195402298850575</c:v>
                </c:pt>
                <c:pt idx="59">
                  <c:v>0.34770114942528735</c:v>
                </c:pt>
                <c:pt idx="60">
                  <c:v>0.35344827586206895</c:v>
                </c:pt>
                <c:pt idx="61">
                  <c:v>0.35919540229885055</c:v>
                </c:pt>
                <c:pt idx="62">
                  <c:v>0.36494252873563221</c:v>
                </c:pt>
                <c:pt idx="63">
                  <c:v>0.37068965517241381</c:v>
                </c:pt>
                <c:pt idx="64">
                  <c:v>0.37643678160919541</c:v>
                </c:pt>
                <c:pt idx="65">
                  <c:v>0.38218390804597702</c:v>
                </c:pt>
                <c:pt idx="66">
                  <c:v>0.38793103448275862</c:v>
                </c:pt>
                <c:pt idx="67">
                  <c:v>0.39367816091954022</c:v>
                </c:pt>
                <c:pt idx="68">
                  <c:v>0.39942528735632182</c:v>
                </c:pt>
                <c:pt idx="69">
                  <c:v>0.40517241379310343</c:v>
                </c:pt>
                <c:pt idx="70">
                  <c:v>0.41091954022988508</c:v>
                </c:pt>
                <c:pt idx="71">
                  <c:v>0.41666666666666669</c:v>
                </c:pt>
                <c:pt idx="72">
                  <c:v>0.42241379310344829</c:v>
                </c:pt>
                <c:pt idx="73">
                  <c:v>0.42816091954022989</c:v>
                </c:pt>
                <c:pt idx="74">
                  <c:v>0.43390804597701149</c:v>
                </c:pt>
                <c:pt idx="75">
                  <c:v>0.43965517241379309</c:v>
                </c:pt>
                <c:pt idx="76">
                  <c:v>0.4454022988505747</c:v>
                </c:pt>
                <c:pt idx="77">
                  <c:v>0.4511494252873563</c:v>
                </c:pt>
                <c:pt idx="78">
                  <c:v>0.45689655172413796</c:v>
                </c:pt>
                <c:pt idx="79">
                  <c:v>0.46264367816091956</c:v>
                </c:pt>
                <c:pt idx="80">
                  <c:v>0.46839080459770116</c:v>
                </c:pt>
                <c:pt idx="81">
                  <c:v>0.47413793103448276</c:v>
                </c:pt>
                <c:pt idx="82">
                  <c:v>0.47988505747126436</c:v>
                </c:pt>
                <c:pt idx="83">
                  <c:v>0.48563218390804597</c:v>
                </c:pt>
                <c:pt idx="84">
                  <c:v>0.49137931034482757</c:v>
                </c:pt>
                <c:pt idx="85">
                  <c:v>0.49712643678160917</c:v>
                </c:pt>
                <c:pt idx="86">
                  <c:v>0.50287356321839083</c:v>
                </c:pt>
                <c:pt idx="87">
                  <c:v>0.50862068965517238</c:v>
                </c:pt>
                <c:pt idx="88">
                  <c:v>0.51436781609195403</c:v>
                </c:pt>
                <c:pt idx="89">
                  <c:v>0.52011494252873558</c:v>
                </c:pt>
                <c:pt idx="90">
                  <c:v>0.52586206896551724</c:v>
                </c:pt>
                <c:pt idx="91">
                  <c:v>0.5316091954022989</c:v>
                </c:pt>
                <c:pt idx="92">
                  <c:v>0.53735632183908044</c:v>
                </c:pt>
                <c:pt idx="93">
                  <c:v>0.5431034482758621</c:v>
                </c:pt>
                <c:pt idx="94">
                  <c:v>0.54885057471264365</c:v>
                </c:pt>
                <c:pt idx="95">
                  <c:v>0.5545977011494253</c:v>
                </c:pt>
                <c:pt idx="96">
                  <c:v>0.56034482758620685</c:v>
                </c:pt>
                <c:pt idx="97">
                  <c:v>0.56609195402298851</c:v>
                </c:pt>
                <c:pt idx="98">
                  <c:v>0.57183908045977017</c:v>
                </c:pt>
                <c:pt idx="99">
                  <c:v>0.57758620689655171</c:v>
                </c:pt>
                <c:pt idx="100">
                  <c:v>0.58333333333333337</c:v>
                </c:pt>
                <c:pt idx="101">
                  <c:v>0.58908045977011492</c:v>
                </c:pt>
                <c:pt idx="102">
                  <c:v>0.59482758620689657</c:v>
                </c:pt>
                <c:pt idx="103">
                  <c:v>0.60057471264367812</c:v>
                </c:pt>
                <c:pt idx="104">
                  <c:v>0.60632183908045978</c:v>
                </c:pt>
                <c:pt idx="105">
                  <c:v>0.61206896551724133</c:v>
                </c:pt>
                <c:pt idx="106">
                  <c:v>0.61781609195402298</c:v>
                </c:pt>
                <c:pt idx="107">
                  <c:v>0.62356321839080464</c:v>
                </c:pt>
                <c:pt idx="108">
                  <c:v>0.62931034482758619</c:v>
                </c:pt>
                <c:pt idx="109">
                  <c:v>0.63505747126436785</c:v>
                </c:pt>
                <c:pt idx="110">
                  <c:v>0.64080459770114939</c:v>
                </c:pt>
                <c:pt idx="111">
                  <c:v>0.64655172413793105</c:v>
                </c:pt>
                <c:pt idx="112">
                  <c:v>0.6522988505747126</c:v>
                </c:pt>
                <c:pt idx="113">
                  <c:v>0.65804597701149425</c:v>
                </c:pt>
                <c:pt idx="114">
                  <c:v>0.66379310344827591</c:v>
                </c:pt>
                <c:pt idx="115">
                  <c:v>0.66954022988505746</c:v>
                </c:pt>
                <c:pt idx="116">
                  <c:v>0.67528735632183912</c:v>
                </c:pt>
                <c:pt idx="117">
                  <c:v>0.68103448275862066</c:v>
                </c:pt>
                <c:pt idx="118">
                  <c:v>0.68678160919540232</c:v>
                </c:pt>
                <c:pt idx="119">
                  <c:v>0.69252873563218387</c:v>
                </c:pt>
                <c:pt idx="120">
                  <c:v>0.69827586206896552</c:v>
                </c:pt>
                <c:pt idx="121">
                  <c:v>0.70402298850574707</c:v>
                </c:pt>
                <c:pt idx="122">
                  <c:v>0.70977011494252873</c:v>
                </c:pt>
                <c:pt idx="123">
                  <c:v>0.71551724137931039</c:v>
                </c:pt>
                <c:pt idx="124">
                  <c:v>0.72126436781609193</c:v>
                </c:pt>
                <c:pt idx="125">
                  <c:v>0.72701149425287359</c:v>
                </c:pt>
                <c:pt idx="126">
                  <c:v>0.73275862068965514</c:v>
                </c:pt>
                <c:pt idx="127">
                  <c:v>0.7385057471264368</c:v>
                </c:pt>
                <c:pt idx="128">
                  <c:v>0.74425287356321834</c:v>
                </c:pt>
                <c:pt idx="129">
                  <c:v>0.75</c:v>
                </c:pt>
                <c:pt idx="130">
                  <c:v>0.75574712643678166</c:v>
                </c:pt>
                <c:pt idx="131">
                  <c:v>0.7614942528735632</c:v>
                </c:pt>
                <c:pt idx="132">
                  <c:v>0.76724137931034486</c:v>
                </c:pt>
                <c:pt idx="133">
                  <c:v>0.77298850574712641</c:v>
                </c:pt>
                <c:pt idx="134">
                  <c:v>0.77873563218390807</c:v>
                </c:pt>
                <c:pt idx="135">
                  <c:v>0.78448275862068961</c:v>
                </c:pt>
                <c:pt idx="136">
                  <c:v>0.79022988505747127</c:v>
                </c:pt>
                <c:pt idx="137">
                  <c:v>0.79597701149425293</c:v>
                </c:pt>
                <c:pt idx="138">
                  <c:v>0.80172413793103448</c:v>
                </c:pt>
                <c:pt idx="139">
                  <c:v>0.80747126436781613</c:v>
                </c:pt>
                <c:pt idx="140">
                  <c:v>0.81321839080459768</c:v>
                </c:pt>
                <c:pt idx="141">
                  <c:v>0.81896551724137934</c:v>
                </c:pt>
                <c:pt idx="142">
                  <c:v>0.82471264367816088</c:v>
                </c:pt>
                <c:pt idx="143">
                  <c:v>0.83045977011494254</c:v>
                </c:pt>
                <c:pt idx="144">
                  <c:v>0.83620689655172409</c:v>
                </c:pt>
                <c:pt idx="145">
                  <c:v>0.84195402298850575</c:v>
                </c:pt>
                <c:pt idx="146">
                  <c:v>0.8477011494252874</c:v>
                </c:pt>
                <c:pt idx="147">
                  <c:v>0.85344827586206895</c:v>
                </c:pt>
                <c:pt idx="148">
                  <c:v>0.85919540229885061</c:v>
                </c:pt>
                <c:pt idx="149">
                  <c:v>0.86494252873563215</c:v>
                </c:pt>
                <c:pt idx="150">
                  <c:v>0.87068965517241381</c:v>
                </c:pt>
                <c:pt idx="151">
                  <c:v>0.87643678160919536</c:v>
                </c:pt>
                <c:pt idx="152">
                  <c:v>0.88218390804597702</c:v>
                </c:pt>
                <c:pt idx="153">
                  <c:v>0.88793103448275867</c:v>
                </c:pt>
                <c:pt idx="154">
                  <c:v>0.89367816091954022</c:v>
                </c:pt>
                <c:pt idx="155">
                  <c:v>0.89942528735632188</c:v>
                </c:pt>
                <c:pt idx="156">
                  <c:v>0.90517241379310343</c:v>
                </c:pt>
                <c:pt idx="157">
                  <c:v>0.91091954022988508</c:v>
                </c:pt>
                <c:pt idx="158">
                  <c:v>0.91666666666666663</c:v>
                </c:pt>
                <c:pt idx="159">
                  <c:v>0.92241379310344829</c:v>
                </c:pt>
                <c:pt idx="160">
                  <c:v>0.92816091954022983</c:v>
                </c:pt>
                <c:pt idx="161">
                  <c:v>0.93390804597701149</c:v>
                </c:pt>
                <c:pt idx="162">
                  <c:v>0.93965517241379315</c:v>
                </c:pt>
                <c:pt idx="163">
                  <c:v>0.9454022988505747</c:v>
                </c:pt>
                <c:pt idx="164">
                  <c:v>0.95114942528735635</c:v>
                </c:pt>
                <c:pt idx="165">
                  <c:v>0.9568965517241379</c:v>
                </c:pt>
                <c:pt idx="166">
                  <c:v>0.96264367816091956</c:v>
                </c:pt>
                <c:pt idx="167">
                  <c:v>0.9683908045977011</c:v>
                </c:pt>
                <c:pt idx="168">
                  <c:v>0.97413793103448276</c:v>
                </c:pt>
                <c:pt idx="169">
                  <c:v>0.97988505747126442</c:v>
                </c:pt>
                <c:pt idx="170">
                  <c:v>0.98563218390804597</c:v>
                </c:pt>
                <c:pt idx="171">
                  <c:v>0.99137931034482762</c:v>
                </c:pt>
                <c:pt idx="172">
                  <c:v>0.99712643678160917</c:v>
                </c:pt>
                <c:pt idx="173">
                  <c:v>1.0028735632183907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14-4F33-BA33-2DC1E0C43DCF}"/>
            </c:ext>
          </c:extLst>
        </c:ser>
        <c:ser>
          <c:idx val="1"/>
          <c:order val="1"/>
          <c:tx>
            <c:strRef>
              <c:f>{"Reference line"}</c:f>
              <c:strCache>
                <c:ptCount val="1"/>
                <c:pt idx="0">
                  <c:v>Reference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E3008C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'PPlot-Arrival'!G8:G9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'PPlot-Arrival'!H8:H9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5A-4E8F-830F-82CBBFCE8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958280"/>
        <c:axId val="1676013576"/>
      </c:scatterChart>
      <c:valAx>
        <c:axId val="167595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13576"/>
        <c:crosses val="autoZero"/>
        <c:crossBetween val="midCat"/>
      </c:valAx>
      <c:valAx>
        <c:axId val="167601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58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{"empricial vs theoriticial cdf"}</c:f>
              <c:strCache>
                <c:ptCount val="1"/>
                <c:pt idx="0">
                  <c:v>empricial vs theoriticial cdf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numRef>
              <c:f>'pplot arrival  3'!B2:B175</c:f>
              <c:numCache>
                <c:formatCode>General</c:formatCode>
                <c:ptCount val="174"/>
                <c:pt idx="0">
                  <c:v>5.7142857142857143E-3</c:v>
                </c:pt>
                <c:pt idx="1">
                  <c:v>1.1428571428571429E-2</c:v>
                </c:pt>
                <c:pt idx="2">
                  <c:v>1.7142857142857144E-2</c:v>
                </c:pt>
                <c:pt idx="3">
                  <c:v>2.2857142857142857E-2</c:v>
                </c:pt>
                <c:pt idx="4">
                  <c:v>2.8571428571428571E-2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5.1428571428571428E-2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7.4285714285714288E-2</c:v>
                </c:pt>
                <c:pt idx="13">
                  <c:v>0.08</c:v>
                </c:pt>
                <c:pt idx="14">
                  <c:v>8.5714285714285715E-2</c:v>
                </c:pt>
                <c:pt idx="15">
                  <c:v>9.1428571428571428E-2</c:v>
                </c:pt>
                <c:pt idx="16">
                  <c:v>9.7142857142857142E-2</c:v>
                </c:pt>
                <c:pt idx="17">
                  <c:v>0.10285714285714286</c:v>
                </c:pt>
                <c:pt idx="18">
                  <c:v>0.10857142857142857</c:v>
                </c:pt>
                <c:pt idx="19">
                  <c:v>0.11428571428571428</c:v>
                </c:pt>
                <c:pt idx="20">
                  <c:v>0.12</c:v>
                </c:pt>
                <c:pt idx="21">
                  <c:v>0.12571428571428572</c:v>
                </c:pt>
                <c:pt idx="22">
                  <c:v>0.13142857142857142</c:v>
                </c:pt>
                <c:pt idx="23">
                  <c:v>0.13714285714285715</c:v>
                </c:pt>
                <c:pt idx="24">
                  <c:v>0.14285714285714285</c:v>
                </c:pt>
                <c:pt idx="25">
                  <c:v>0.14857142857142858</c:v>
                </c:pt>
                <c:pt idx="26">
                  <c:v>0.15428571428571428</c:v>
                </c:pt>
                <c:pt idx="27">
                  <c:v>0.16</c:v>
                </c:pt>
                <c:pt idx="28">
                  <c:v>0.1657142857142857</c:v>
                </c:pt>
                <c:pt idx="29">
                  <c:v>0.17142857142857143</c:v>
                </c:pt>
                <c:pt idx="30">
                  <c:v>0.17714285714285713</c:v>
                </c:pt>
                <c:pt idx="31">
                  <c:v>0.18285714285714286</c:v>
                </c:pt>
                <c:pt idx="32">
                  <c:v>0.18857142857142858</c:v>
                </c:pt>
                <c:pt idx="33">
                  <c:v>0.19428571428571428</c:v>
                </c:pt>
                <c:pt idx="34">
                  <c:v>0.2</c:v>
                </c:pt>
                <c:pt idx="35">
                  <c:v>0.20571428571428571</c:v>
                </c:pt>
                <c:pt idx="36">
                  <c:v>0.21142857142857144</c:v>
                </c:pt>
                <c:pt idx="37">
                  <c:v>0.21714285714285714</c:v>
                </c:pt>
                <c:pt idx="38">
                  <c:v>0.22285714285714286</c:v>
                </c:pt>
                <c:pt idx="39">
                  <c:v>0.22857142857142856</c:v>
                </c:pt>
                <c:pt idx="40">
                  <c:v>0.23428571428571429</c:v>
                </c:pt>
                <c:pt idx="41">
                  <c:v>0.24</c:v>
                </c:pt>
                <c:pt idx="42">
                  <c:v>0.24571428571428572</c:v>
                </c:pt>
                <c:pt idx="43">
                  <c:v>0.25142857142857145</c:v>
                </c:pt>
                <c:pt idx="44">
                  <c:v>0.25714285714285712</c:v>
                </c:pt>
                <c:pt idx="45">
                  <c:v>0.26285714285714284</c:v>
                </c:pt>
                <c:pt idx="46">
                  <c:v>0.26857142857142857</c:v>
                </c:pt>
                <c:pt idx="47">
                  <c:v>0.2742857142857143</c:v>
                </c:pt>
                <c:pt idx="48">
                  <c:v>0.28000000000000003</c:v>
                </c:pt>
                <c:pt idx="49">
                  <c:v>0.2857142857142857</c:v>
                </c:pt>
                <c:pt idx="50">
                  <c:v>0.29142857142857143</c:v>
                </c:pt>
                <c:pt idx="51">
                  <c:v>0.29714285714285715</c:v>
                </c:pt>
                <c:pt idx="52">
                  <c:v>0.30285714285714288</c:v>
                </c:pt>
                <c:pt idx="53">
                  <c:v>0.30857142857142855</c:v>
                </c:pt>
                <c:pt idx="54">
                  <c:v>0.31428571428571428</c:v>
                </c:pt>
                <c:pt idx="55">
                  <c:v>0.32</c:v>
                </c:pt>
                <c:pt idx="56">
                  <c:v>0.32571428571428573</c:v>
                </c:pt>
                <c:pt idx="57">
                  <c:v>0.33142857142857141</c:v>
                </c:pt>
                <c:pt idx="58">
                  <c:v>0.33714285714285713</c:v>
                </c:pt>
                <c:pt idx="59">
                  <c:v>0.34285714285714286</c:v>
                </c:pt>
                <c:pt idx="60">
                  <c:v>0.34857142857142859</c:v>
                </c:pt>
                <c:pt idx="61">
                  <c:v>0.35428571428571426</c:v>
                </c:pt>
                <c:pt idx="62">
                  <c:v>0.36</c:v>
                </c:pt>
                <c:pt idx="63">
                  <c:v>0.36571428571428571</c:v>
                </c:pt>
                <c:pt idx="64">
                  <c:v>0.37142857142857144</c:v>
                </c:pt>
                <c:pt idx="65">
                  <c:v>0.37714285714285717</c:v>
                </c:pt>
                <c:pt idx="66">
                  <c:v>0.38285714285714284</c:v>
                </c:pt>
                <c:pt idx="67">
                  <c:v>0.38857142857142857</c:v>
                </c:pt>
                <c:pt idx="68">
                  <c:v>0.39428571428571429</c:v>
                </c:pt>
                <c:pt idx="69">
                  <c:v>0.4</c:v>
                </c:pt>
                <c:pt idx="70">
                  <c:v>0.40571428571428569</c:v>
                </c:pt>
                <c:pt idx="71">
                  <c:v>0.41142857142857142</c:v>
                </c:pt>
                <c:pt idx="72">
                  <c:v>0.41714285714285715</c:v>
                </c:pt>
                <c:pt idx="73">
                  <c:v>0.42285714285714288</c:v>
                </c:pt>
                <c:pt idx="74">
                  <c:v>0.42857142857142855</c:v>
                </c:pt>
                <c:pt idx="75">
                  <c:v>0.43428571428571427</c:v>
                </c:pt>
                <c:pt idx="76">
                  <c:v>0.44</c:v>
                </c:pt>
                <c:pt idx="77">
                  <c:v>0.44571428571428573</c:v>
                </c:pt>
                <c:pt idx="78">
                  <c:v>0.4514285714285714</c:v>
                </c:pt>
                <c:pt idx="79">
                  <c:v>0.45714285714285713</c:v>
                </c:pt>
                <c:pt idx="80">
                  <c:v>0.46285714285714286</c:v>
                </c:pt>
                <c:pt idx="81">
                  <c:v>0.46857142857142858</c:v>
                </c:pt>
                <c:pt idx="82">
                  <c:v>0.47428571428571431</c:v>
                </c:pt>
                <c:pt idx="83">
                  <c:v>0.48</c:v>
                </c:pt>
                <c:pt idx="84">
                  <c:v>0.48571428571428571</c:v>
                </c:pt>
                <c:pt idx="85">
                  <c:v>0.49142857142857144</c:v>
                </c:pt>
                <c:pt idx="86">
                  <c:v>0.49714285714285716</c:v>
                </c:pt>
                <c:pt idx="87">
                  <c:v>0.50285714285714289</c:v>
                </c:pt>
                <c:pt idx="88">
                  <c:v>0.50857142857142856</c:v>
                </c:pt>
                <c:pt idx="89">
                  <c:v>0.51428571428571423</c:v>
                </c:pt>
                <c:pt idx="90">
                  <c:v>0.52</c:v>
                </c:pt>
                <c:pt idx="91">
                  <c:v>0.52571428571428569</c:v>
                </c:pt>
                <c:pt idx="92">
                  <c:v>0.53142857142857147</c:v>
                </c:pt>
                <c:pt idx="93">
                  <c:v>0.53714285714285714</c:v>
                </c:pt>
                <c:pt idx="94">
                  <c:v>0.54285714285714282</c:v>
                </c:pt>
                <c:pt idx="95">
                  <c:v>0.5485714285714286</c:v>
                </c:pt>
                <c:pt idx="96">
                  <c:v>0.55428571428571427</c:v>
                </c:pt>
                <c:pt idx="97">
                  <c:v>0.56000000000000005</c:v>
                </c:pt>
                <c:pt idx="98">
                  <c:v>0.56571428571428573</c:v>
                </c:pt>
                <c:pt idx="99">
                  <c:v>0.5714285714285714</c:v>
                </c:pt>
                <c:pt idx="100">
                  <c:v>0.57714285714285718</c:v>
                </c:pt>
                <c:pt idx="101">
                  <c:v>0.58285714285714285</c:v>
                </c:pt>
                <c:pt idx="102">
                  <c:v>0.58857142857142852</c:v>
                </c:pt>
                <c:pt idx="103">
                  <c:v>0.59428571428571431</c:v>
                </c:pt>
                <c:pt idx="104">
                  <c:v>0.6</c:v>
                </c:pt>
                <c:pt idx="105">
                  <c:v>0.60571428571428576</c:v>
                </c:pt>
                <c:pt idx="106">
                  <c:v>0.61142857142857143</c:v>
                </c:pt>
                <c:pt idx="107">
                  <c:v>0.6171428571428571</c:v>
                </c:pt>
                <c:pt idx="108">
                  <c:v>0.62285714285714289</c:v>
                </c:pt>
                <c:pt idx="109">
                  <c:v>0.62857142857142856</c:v>
                </c:pt>
                <c:pt idx="110">
                  <c:v>0.63428571428571423</c:v>
                </c:pt>
                <c:pt idx="111">
                  <c:v>0.64</c:v>
                </c:pt>
                <c:pt idx="112">
                  <c:v>0.64571428571428569</c:v>
                </c:pt>
                <c:pt idx="113">
                  <c:v>0.65142857142857147</c:v>
                </c:pt>
                <c:pt idx="114">
                  <c:v>0.65714285714285714</c:v>
                </c:pt>
                <c:pt idx="115">
                  <c:v>0.66285714285714281</c:v>
                </c:pt>
                <c:pt idx="116">
                  <c:v>0.66857142857142859</c:v>
                </c:pt>
                <c:pt idx="117">
                  <c:v>0.67428571428571427</c:v>
                </c:pt>
                <c:pt idx="118">
                  <c:v>0.68</c:v>
                </c:pt>
                <c:pt idx="119">
                  <c:v>0.68571428571428572</c:v>
                </c:pt>
                <c:pt idx="120">
                  <c:v>0.69142857142857139</c:v>
                </c:pt>
                <c:pt idx="121">
                  <c:v>0.69714285714285718</c:v>
                </c:pt>
                <c:pt idx="122">
                  <c:v>0.70285714285714285</c:v>
                </c:pt>
                <c:pt idx="123">
                  <c:v>0.70857142857142852</c:v>
                </c:pt>
                <c:pt idx="124">
                  <c:v>0.7142857142857143</c:v>
                </c:pt>
                <c:pt idx="125">
                  <c:v>0.72</c:v>
                </c:pt>
                <c:pt idx="126">
                  <c:v>0.72571428571428576</c:v>
                </c:pt>
                <c:pt idx="127">
                  <c:v>0.73142857142857143</c:v>
                </c:pt>
                <c:pt idx="128">
                  <c:v>0.7371428571428571</c:v>
                </c:pt>
                <c:pt idx="129">
                  <c:v>0.74285714285714288</c:v>
                </c:pt>
                <c:pt idx="130">
                  <c:v>0.74857142857142855</c:v>
                </c:pt>
                <c:pt idx="131">
                  <c:v>0.75428571428571434</c:v>
                </c:pt>
                <c:pt idx="132">
                  <c:v>0.76</c:v>
                </c:pt>
                <c:pt idx="133">
                  <c:v>0.76571428571428568</c:v>
                </c:pt>
                <c:pt idx="134">
                  <c:v>0.77142857142857146</c:v>
                </c:pt>
                <c:pt idx="135">
                  <c:v>0.77714285714285714</c:v>
                </c:pt>
                <c:pt idx="136">
                  <c:v>0.78285714285714281</c:v>
                </c:pt>
                <c:pt idx="137">
                  <c:v>0.78857142857142859</c:v>
                </c:pt>
                <c:pt idx="138">
                  <c:v>0.79428571428571426</c:v>
                </c:pt>
                <c:pt idx="139">
                  <c:v>0.8</c:v>
                </c:pt>
                <c:pt idx="140">
                  <c:v>0.80571428571428572</c:v>
                </c:pt>
                <c:pt idx="141">
                  <c:v>0.81142857142857139</c:v>
                </c:pt>
                <c:pt idx="142">
                  <c:v>0.81714285714285717</c:v>
                </c:pt>
                <c:pt idx="143">
                  <c:v>0.82285714285714284</c:v>
                </c:pt>
                <c:pt idx="144">
                  <c:v>0.82857142857142863</c:v>
                </c:pt>
                <c:pt idx="145">
                  <c:v>0.8342857142857143</c:v>
                </c:pt>
                <c:pt idx="146">
                  <c:v>0.84</c:v>
                </c:pt>
                <c:pt idx="147">
                  <c:v>0.84571428571428575</c:v>
                </c:pt>
                <c:pt idx="148">
                  <c:v>0.85142857142857142</c:v>
                </c:pt>
                <c:pt idx="149">
                  <c:v>0.8571428571428571</c:v>
                </c:pt>
                <c:pt idx="150">
                  <c:v>0.86285714285714288</c:v>
                </c:pt>
                <c:pt idx="151">
                  <c:v>0.86857142857142855</c:v>
                </c:pt>
                <c:pt idx="152">
                  <c:v>0.87428571428571433</c:v>
                </c:pt>
                <c:pt idx="153">
                  <c:v>0.88</c:v>
                </c:pt>
                <c:pt idx="154">
                  <c:v>0.88571428571428568</c:v>
                </c:pt>
                <c:pt idx="155">
                  <c:v>0.89142857142857146</c:v>
                </c:pt>
                <c:pt idx="156">
                  <c:v>0.89714285714285713</c:v>
                </c:pt>
                <c:pt idx="157">
                  <c:v>0.9028571428571428</c:v>
                </c:pt>
                <c:pt idx="158">
                  <c:v>0.90857142857142859</c:v>
                </c:pt>
                <c:pt idx="159">
                  <c:v>0.91428571428571426</c:v>
                </c:pt>
                <c:pt idx="160">
                  <c:v>0.92</c:v>
                </c:pt>
                <c:pt idx="161">
                  <c:v>0.92571428571428571</c:v>
                </c:pt>
                <c:pt idx="162">
                  <c:v>0.93142857142857138</c:v>
                </c:pt>
                <c:pt idx="163">
                  <c:v>0.93714285714285717</c:v>
                </c:pt>
                <c:pt idx="164">
                  <c:v>0.94285714285714284</c:v>
                </c:pt>
                <c:pt idx="165">
                  <c:v>0.94857142857142862</c:v>
                </c:pt>
                <c:pt idx="166">
                  <c:v>0.95428571428571429</c:v>
                </c:pt>
                <c:pt idx="167">
                  <c:v>0.96</c:v>
                </c:pt>
                <c:pt idx="168">
                  <c:v>0.96571428571428575</c:v>
                </c:pt>
                <c:pt idx="169">
                  <c:v>0.97142857142857142</c:v>
                </c:pt>
                <c:pt idx="170">
                  <c:v>0.97714285714285709</c:v>
                </c:pt>
                <c:pt idx="171">
                  <c:v>0.98285714285714287</c:v>
                </c:pt>
                <c:pt idx="172">
                  <c:v>0.98857142857142855</c:v>
                </c:pt>
                <c:pt idx="173">
                  <c:v>0.99428571428571433</c:v>
                </c:pt>
              </c:numCache>
            </c:numRef>
          </c:xVal>
          <c:yVal>
            <c:numRef>
              <c:f>'pplot arrival  3'!C2:C175</c:f>
              <c:numCache>
                <c:formatCode>General</c:formatCode>
                <c:ptCount val="174"/>
                <c:pt idx="0">
                  <c:v>0.4748415682593351</c:v>
                </c:pt>
                <c:pt idx="1">
                  <c:v>0.48194599828109896</c:v>
                </c:pt>
                <c:pt idx="2">
                  <c:v>0.48496125638722509</c:v>
                </c:pt>
                <c:pt idx="3">
                  <c:v>0.48696167221145281</c:v>
                </c:pt>
                <c:pt idx="4">
                  <c:v>0.48696167221145281</c:v>
                </c:pt>
                <c:pt idx="5">
                  <c:v>0.49242284424507887</c:v>
                </c:pt>
                <c:pt idx="6">
                  <c:v>0.49242284424507887</c:v>
                </c:pt>
                <c:pt idx="7">
                  <c:v>0.49340952071236621</c:v>
                </c:pt>
                <c:pt idx="8">
                  <c:v>0.49439427918464529</c:v>
                </c:pt>
                <c:pt idx="9">
                  <c:v>0.49880205691899271</c:v>
                </c:pt>
                <c:pt idx="10">
                  <c:v>0.50268781210177882</c:v>
                </c:pt>
                <c:pt idx="11">
                  <c:v>0.5046193777996808</c:v>
                </c:pt>
                <c:pt idx="12">
                  <c:v>0.50846003167055187</c:v>
                </c:pt>
                <c:pt idx="13">
                  <c:v>0.50893801500386537</c:v>
                </c:pt>
                <c:pt idx="14">
                  <c:v>0.51036917800775616</c:v>
                </c:pt>
                <c:pt idx="15">
                  <c:v>0.51179616999534705</c:v>
                </c:pt>
                <c:pt idx="16">
                  <c:v>0.51227090920077745</c:v>
                </c:pt>
                <c:pt idx="17">
                  <c:v>0.51227090920077745</c:v>
                </c:pt>
                <c:pt idx="18">
                  <c:v>0.51652284176070085</c:v>
                </c:pt>
                <c:pt idx="19">
                  <c:v>0.5212037510297276</c:v>
                </c:pt>
                <c:pt idx="20">
                  <c:v>0.52306340062871226</c:v>
                </c:pt>
                <c:pt idx="21">
                  <c:v>0.52352718335287485</c:v>
                </c:pt>
                <c:pt idx="22">
                  <c:v>0.52445339626485787</c:v>
                </c:pt>
                <c:pt idx="23">
                  <c:v>0.52676105918547889</c:v>
                </c:pt>
                <c:pt idx="24">
                  <c:v>0.53088666928139427</c:v>
                </c:pt>
                <c:pt idx="25">
                  <c:v>0.53497631306685722</c:v>
                </c:pt>
                <c:pt idx="26">
                  <c:v>0.53768291592469342</c:v>
                </c:pt>
                <c:pt idx="27">
                  <c:v>0.53947856027623819</c:v>
                </c:pt>
                <c:pt idx="28">
                  <c:v>0.53992638056961051</c:v>
                </c:pt>
                <c:pt idx="29">
                  <c:v>0.53992638056961051</c:v>
                </c:pt>
                <c:pt idx="30">
                  <c:v>0.54393721781372961</c:v>
                </c:pt>
                <c:pt idx="31">
                  <c:v>0.54570857039184295</c:v>
                </c:pt>
                <c:pt idx="32">
                  <c:v>0.54570857039184295</c:v>
                </c:pt>
                <c:pt idx="33">
                  <c:v>0.54615033249830558</c:v>
                </c:pt>
                <c:pt idx="34">
                  <c:v>0.54791308931602078</c:v>
                </c:pt>
                <c:pt idx="35">
                  <c:v>0.54791308931602078</c:v>
                </c:pt>
                <c:pt idx="36">
                  <c:v>0.548352707704024</c:v>
                </c:pt>
                <c:pt idx="37">
                  <c:v>0.54966899956796555</c:v>
                </c:pt>
                <c:pt idx="38">
                  <c:v>0.55185429990139401</c:v>
                </c:pt>
                <c:pt idx="39">
                  <c:v>0.55359490245053133</c:v>
                </c:pt>
                <c:pt idx="40">
                  <c:v>0.55402899572937492</c:v>
                </c:pt>
                <c:pt idx="41">
                  <c:v>0.55619313851189944</c:v>
                </c:pt>
                <c:pt idx="42">
                  <c:v>0.55662470521383489</c:v>
                </c:pt>
                <c:pt idx="43">
                  <c:v>0.55705585225164544</c:v>
                </c:pt>
                <c:pt idx="44">
                  <c:v>0.55877625191748315</c:v>
                </c:pt>
                <c:pt idx="45">
                  <c:v>0.55963394435715541</c:v>
                </c:pt>
                <c:pt idx="46">
                  <c:v>0.55963394435715541</c:v>
                </c:pt>
                <c:pt idx="47">
                  <c:v>0.56091735791035546</c:v>
                </c:pt>
                <c:pt idx="48">
                  <c:v>0.5621970310518517</c:v>
                </c:pt>
                <c:pt idx="49">
                  <c:v>0.56262275944814788</c:v>
                </c:pt>
                <c:pt idx="50">
                  <c:v>0.56937838439638055</c:v>
                </c:pt>
                <c:pt idx="51">
                  <c:v>0.57230106285156901</c:v>
                </c:pt>
                <c:pt idx="52">
                  <c:v>0.5772652930366069</c:v>
                </c:pt>
                <c:pt idx="53">
                  <c:v>0.5817652043186019</c:v>
                </c:pt>
                <c:pt idx="54">
                  <c:v>0.58338963260462762</c:v>
                </c:pt>
                <c:pt idx="55">
                  <c:v>0.58782435173593583</c:v>
                </c:pt>
                <c:pt idx="56">
                  <c:v>0.58822515961110722</c:v>
                </c:pt>
                <c:pt idx="57">
                  <c:v>0.58822515961110722</c:v>
                </c:pt>
                <c:pt idx="58">
                  <c:v>0.58862557773265411</c:v>
                </c:pt>
                <c:pt idx="59">
                  <c:v>0.58902560647958069</c:v>
                </c:pt>
                <c:pt idx="60">
                  <c:v>0.59022336025715638</c:v>
                </c:pt>
                <c:pt idx="61">
                  <c:v>0.59062183528827927</c:v>
                </c:pt>
                <c:pt idx="62">
                  <c:v>0.59379571767787831</c:v>
                </c:pt>
                <c:pt idx="63">
                  <c:v>0.59458533596887997</c:v>
                </c:pt>
                <c:pt idx="64">
                  <c:v>0.59537341932518817</c:v>
                </c:pt>
                <c:pt idx="65">
                  <c:v>0.59655267288247016</c:v>
                </c:pt>
                <c:pt idx="66">
                  <c:v>0.59694499316292959</c:v>
                </c:pt>
                <c:pt idx="67">
                  <c:v>0.59968057387242846</c:v>
                </c:pt>
                <c:pt idx="68">
                  <c:v>0.59968057387242846</c:v>
                </c:pt>
                <c:pt idx="69">
                  <c:v>0.60739464166435042</c:v>
                </c:pt>
                <c:pt idx="70">
                  <c:v>0.6100592994070666</c:v>
                </c:pt>
                <c:pt idx="71">
                  <c:v>0.61043848557273572</c:v>
                </c:pt>
                <c:pt idx="72">
                  <c:v>0.61043848557273572</c:v>
                </c:pt>
                <c:pt idx="73">
                  <c:v>0.6130824843966014</c:v>
                </c:pt>
                <c:pt idx="74">
                  <c:v>0.61533448162363635</c:v>
                </c:pt>
                <c:pt idx="75">
                  <c:v>0.61757337142775548</c:v>
                </c:pt>
                <c:pt idx="76">
                  <c:v>0.61979923009881088</c:v>
                </c:pt>
                <c:pt idx="77">
                  <c:v>0.62016894496033748</c:v>
                </c:pt>
                <c:pt idx="78">
                  <c:v>0.62090729647853216</c:v>
                </c:pt>
                <c:pt idx="79">
                  <c:v>0.62090729647853216</c:v>
                </c:pt>
                <c:pt idx="80">
                  <c:v>0.62421215698355348</c:v>
                </c:pt>
                <c:pt idx="81">
                  <c:v>0.62567172086499934</c:v>
                </c:pt>
                <c:pt idx="82">
                  <c:v>0.62639937556709757</c:v>
                </c:pt>
                <c:pt idx="83">
                  <c:v>0.62676267231466687</c:v>
                </c:pt>
                <c:pt idx="84">
                  <c:v>0.62712561578518544</c:v>
                </c:pt>
                <c:pt idx="85">
                  <c:v>0.62785044426887049</c:v>
                </c:pt>
                <c:pt idx="86">
                  <c:v>0.63001648672947552</c:v>
                </c:pt>
                <c:pt idx="87">
                  <c:v>0.63145350653396282</c:v>
                </c:pt>
                <c:pt idx="88">
                  <c:v>0.63502168481898247</c:v>
                </c:pt>
                <c:pt idx="89">
                  <c:v>0.63608538650607915</c:v>
                </c:pt>
                <c:pt idx="90">
                  <c:v>0.63643926438215603</c:v>
                </c:pt>
                <c:pt idx="91">
                  <c:v>0.6382034986809384</c:v>
                </c:pt>
                <c:pt idx="92">
                  <c:v>0.64065905316601812</c:v>
                </c:pt>
                <c:pt idx="93">
                  <c:v>0.64170632516956361</c:v>
                </c:pt>
                <c:pt idx="94">
                  <c:v>0.64413810556820739</c:v>
                </c:pt>
                <c:pt idx="95">
                  <c:v>0.64517523813673494</c:v>
                </c:pt>
                <c:pt idx="96">
                  <c:v>0.64620934806085595</c:v>
                </c:pt>
                <c:pt idx="97">
                  <c:v>0.64724044414983894</c:v>
                </c:pt>
                <c:pt idx="98">
                  <c:v>0.64724044414983894</c:v>
                </c:pt>
                <c:pt idx="99">
                  <c:v>0.64758347462391508</c:v>
                </c:pt>
                <c:pt idx="100">
                  <c:v>0.64758347462391508</c:v>
                </c:pt>
                <c:pt idx="101">
                  <c:v>0.64895226406514539</c:v>
                </c:pt>
                <c:pt idx="102">
                  <c:v>0.6496346638461723</c:v>
                </c:pt>
                <c:pt idx="103">
                  <c:v>0.65065577711144185</c:v>
                </c:pt>
                <c:pt idx="104">
                  <c:v>0.65437446399468424</c:v>
                </c:pt>
                <c:pt idx="105">
                  <c:v>0.65471055720464122</c:v>
                </c:pt>
                <c:pt idx="106">
                  <c:v>0.65571687716273519</c:v>
                </c:pt>
                <c:pt idx="107">
                  <c:v>0.65772072709631946</c:v>
                </c:pt>
                <c:pt idx="108">
                  <c:v>0.65805356633285728</c:v>
                </c:pt>
                <c:pt idx="109">
                  <c:v>0.65805356633285728</c:v>
                </c:pt>
                <c:pt idx="110">
                  <c:v>0.65871827414199891</c:v>
                </c:pt>
                <c:pt idx="111">
                  <c:v>0.65905014334376288</c:v>
                </c:pt>
                <c:pt idx="112">
                  <c:v>0.66300749142903492</c:v>
                </c:pt>
                <c:pt idx="113">
                  <c:v>0.66529469836122679</c:v>
                </c:pt>
                <c:pt idx="114">
                  <c:v>0.66691890723552083</c:v>
                </c:pt>
                <c:pt idx="115">
                  <c:v>0.66982264697575133</c:v>
                </c:pt>
                <c:pt idx="116">
                  <c:v>0.67206359866305199</c:v>
                </c:pt>
                <c:pt idx="117">
                  <c:v>0.67238249060333222</c:v>
                </c:pt>
                <c:pt idx="118">
                  <c:v>0.67555440433347647</c:v>
                </c:pt>
                <c:pt idx="119">
                  <c:v>0.6768145543934887</c:v>
                </c:pt>
                <c:pt idx="120">
                  <c:v>0.67900805120061158</c:v>
                </c:pt>
                <c:pt idx="121">
                  <c:v>0.68211581785062214</c:v>
                </c:pt>
                <c:pt idx="122">
                  <c:v>0.68273375118015367</c:v>
                </c:pt>
                <c:pt idx="123">
                  <c:v>0.68304226724991324</c:v>
                </c:pt>
                <c:pt idx="124">
                  <c:v>0.68335048331245274</c:v>
                </c:pt>
                <c:pt idx="125">
                  <c:v>0.68396601658252054</c:v>
                </c:pt>
                <c:pt idx="126">
                  <c:v>0.68641620758181321</c:v>
                </c:pt>
                <c:pt idx="127">
                  <c:v>0.68914997344159046</c:v>
                </c:pt>
                <c:pt idx="128">
                  <c:v>0.68914997344159046</c:v>
                </c:pt>
                <c:pt idx="129">
                  <c:v>0.69005592232658175</c:v>
                </c:pt>
                <c:pt idx="130">
                  <c:v>0.69065842093028795</c:v>
                </c:pt>
                <c:pt idx="131">
                  <c:v>0.69125974834024129</c:v>
                </c:pt>
                <c:pt idx="132">
                  <c:v>0.69125974834024129</c:v>
                </c:pt>
                <c:pt idx="133">
                  <c:v>0.69185990683311904</c:v>
                </c:pt>
                <c:pt idx="134">
                  <c:v>0.69573260119176805</c:v>
                </c:pt>
                <c:pt idx="135">
                  <c:v>0.69632406493036036</c:v>
                </c:pt>
                <c:pt idx="136">
                  <c:v>0.69720910546846482</c:v>
                </c:pt>
                <c:pt idx="137">
                  <c:v>0.6986784447814236</c:v>
                </c:pt>
                <c:pt idx="138">
                  <c:v>0.69926418211071384</c:v>
                </c:pt>
                <c:pt idx="139">
                  <c:v>0.70390927610690956</c:v>
                </c:pt>
                <c:pt idx="140">
                  <c:v>0.70819886980762126</c:v>
                </c:pt>
                <c:pt idx="141">
                  <c:v>0.70876610043457977</c:v>
                </c:pt>
                <c:pt idx="142">
                  <c:v>0.70961487960151159</c:v>
                </c:pt>
                <c:pt idx="143">
                  <c:v>0.70989725592233122</c:v>
                </c:pt>
                <c:pt idx="144">
                  <c:v>0.71046118506577582</c:v>
                </c:pt>
                <c:pt idx="145">
                  <c:v>0.71046118506577582</c:v>
                </c:pt>
                <c:pt idx="146">
                  <c:v>0.71158575682723169</c:v>
                </c:pt>
                <c:pt idx="147">
                  <c:v>0.71242631831892866</c:v>
                </c:pt>
                <c:pt idx="148">
                  <c:v>0.71270596074029724</c:v>
                </c:pt>
                <c:pt idx="149">
                  <c:v>0.71298533123176133</c:v>
                </c:pt>
                <c:pt idx="150">
                  <c:v>0.71604053470763807</c:v>
                </c:pt>
                <c:pt idx="151">
                  <c:v>0.71631666259243176</c:v>
                </c:pt>
                <c:pt idx="152">
                  <c:v>0.71659252196492673</c:v>
                </c:pt>
                <c:pt idx="153">
                  <c:v>0.71741849161841764</c:v>
                </c:pt>
                <c:pt idx="154">
                  <c:v>0.72259402034077125</c:v>
                </c:pt>
                <c:pt idx="155">
                  <c:v>0.72286377548456804</c:v>
                </c:pt>
                <c:pt idx="156">
                  <c:v>0.72420862157168542</c:v>
                </c:pt>
                <c:pt idx="157">
                  <c:v>0.72608044939140426</c:v>
                </c:pt>
                <c:pt idx="158">
                  <c:v>0.72634681426159897</c:v>
                </c:pt>
                <c:pt idx="159">
                  <c:v>0.72793957290032618</c:v>
                </c:pt>
                <c:pt idx="160">
                  <c:v>0.72846842968210979</c:v>
                </c:pt>
                <c:pt idx="161">
                  <c:v>0.72952306111863274</c:v>
                </c:pt>
                <c:pt idx="162">
                  <c:v>0.73083559199959602</c:v>
                </c:pt>
                <c:pt idx="163">
                  <c:v>0.73162005130303287</c:v>
                </c:pt>
                <c:pt idx="164">
                  <c:v>0.73188102935311616</c:v>
                </c:pt>
                <c:pt idx="165">
                  <c:v>0.73395973836255446</c:v>
                </c:pt>
                <c:pt idx="166">
                  <c:v>0.73421844125396984</c:v>
                </c:pt>
                <c:pt idx="167">
                  <c:v>0.73447689257749993</c:v>
                </c:pt>
                <c:pt idx="168">
                  <c:v>0.73473509257777425</c:v>
                </c:pt>
                <c:pt idx="169">
                  <c:v>0.73576538423058757</c:v>
                </c:pt>
                <c:pt idx="170">
                  <c:v>0.73704762328006512</c:v>
                </c:pt>
                <c:pt idx="171">
                  <c:v>0.73704762328006512</c:v>
                </c:pt>
                <c:pt idx="172">
                  <c:v>0.73781397808830729</c:v>
                </c:pt>
                <c:pt idx="173">
                  <c:v>0.73806893303963605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79-434D-B742-6376400E3120}"/>
            </c:ext>
          </c:extLst>
        </c:ser>
        <c:ser>
          <c:idx val="1"/>
          <c:order val="1"/>
          <c:tx>
            <c:strRef>
              <c:f>{"theoritical vs sorted"}</c:f>
              <c:strCache>
                <c:ptCount val="1"/>
                <c:pt idx="0">
                  <c:v>theoritical vs sorted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'pplot arrival  3'!A2:A175</c:f>
              <c:numCache>
                <c:formatCode>General</c:formatCode>
                <c:ptCount val="174"/>
                <c:pt idx="0">
                  <c:v>662</c:v>
                </c:pt>
                <c:pt idx="1">
                  <c:v>676</c:v>
                </c:pt>
                <c:pt idx="2">
                  <c:v>682</c:v>
                </c:pt>
                <c:pt idx="3">
                  <c:v>686</c:v>
                </c:pt>
                <c:pt idx="4">
                  <c:v>686</c:v>
                </c:pt>
                <c:pt idx="5">
                  <c:v>697</c:v>
                </c:pt>
                <c:pt idx="6">
                  <c:v>697</c:v>
                </c:pt>
                <c:pt idx="7">
                  <c:v>699</c:v>
                </c:pt>
                <c:pt idx="8">
                  <c:v>701</c:v>
                </c:pt>
                <c:pt idx="9">
                  <c:v>710</c:v>
                </c:pt>
                <c:pt idx="10">
                  <c:v>718</c:v>
                </c:pt>
                <c:pt idx="11">
                  <c:v>722</c:v>
                </c:pt>
                <c:pt idx="12">
                  <c:v>730</c:v>
                </c:pt>
                <c:pt idx="13">
                  <c:v>731</c:v>
                </c:pt>
                <c:pt idx="14">
                  <c:v>734</c:v>
                </c:pt>
                <c:pt idx="15">
                  <c:v>737</c:v>
                </c:pt>
                <c:pt idx="16">
                  <c:v>738</c:v>
                </c:pt>
                <c:pt idx="17">
                  <c:v>738</c:v>
                </c:pt>
                <c:pt idx="18">
                  <c:v>747</c:v>
                </c:pt>
                <c:pt idx="19">
                  <c:v>757</c:v>
                </c:pt>
                <c:pt idx="20">
                  <c:v>761</c:v>
                </c:pt>
                <c:pt idx="21">
                  <c:v>762</c:v>
                </c:pt>
                <c:pt idx="22">
                  <c:v>764</c:v>
                </c:pt>
                <c:pt idx="23">
                  <c:v>769</c:v>
                </c:pt>
                <c:pt idx="24">
                  <c:v>778</c:v>
                </c:pt>
                <c:pt idx="25">
                  <c:v>787</c:v>
                </c:pt>
                <c:pt idx="26">
                  <c:v>793</c:v>
                </c:pt>
                <c:pt idx="27">
                  <c:v>797</c:v>
                </c:pt>
                <c:pt idx="28">
                  <c:v>798</c:v>
                </c:pt>
                <c:pt idx="29">
                  <c:v>798</c:v>
                </c:pt>
                <c:pt idx="30">
                  <c:v>807</c:v>
                </c:pt>
                <c:pt idx="31">
                  <c:v>811</c:v>
                </c:pt>
                <c:pt idx="32">
                  <c:v>811</c:v>
                </c:pt>
                <c:pt idx="33">
                  <c:v>812</c:v>
                </c:pt>
                <c:pt idx="34">
                  <c:v>816</c:v>
                </c:pt>
                <c:pt idx="35">
                  <c:v>816</c:v>
                </c:pt>
                <c:pt idx="36">
                  <c:v>817</c:v>
                </c:pt>
                <c:pt idx="37">
                  <c:v>820</c:v>
                </c:pt>
                <c:pt idx="38">
                  <c:v>825</c:v>
                </c:pt>
                <c:pt idx="39">
                  <c:v>829</c:v>
                </c:pt>
                <c:pt idx="40">
                  <c:v>830</c:v>
                </c:pt>
                <c:pt idx="41">
                  <c:v>835</c:v>
                </c:pt>
                <c:pt idx="42">
                  <c:v>836</c:v>
                </c:pt>
                <c:pt idx="43">
                  <c:v>837</c:v>
                </c:pt>
                <c:pt idx="44">
                  <c:v>841</c:v>
                </c:pt>
                <c:pt idx="45">
                  <c:v>843</c:v>
                </c:pt>
                <c:pt idx="46">
                  <c:v>843</c:v>
                </c:pt>
                <c:pt idx="47">
                  <c:v>846</c:v>
                </c:pt>
                <c:pt idx="48">
                  <c:v>849</c:v>
                </c:pt>
                <c:pt idx="49">
                  <c:v>850</c:v>
                </c:pt>
                <c:pt idx="50">
                  <c:v>866</c:v>
                </c:pt>
                <c:pt idx="51">
                  <c:v>873</c:v>
                </c:pt>
                <c:pt idx="52">
                  <c:v>885</c:v>
                </c:pt>
                <c:pt idx="53">
                  <c:v>896</c:v>
                </c:pt>
                <c:pt idx="54">
                  <c:v>900</c:v>
                </c:pt>
                <c:pt idx="55">
                  <c:v>911</c:v>
                </c:pt>
                <c:pt idx="56">
                  <c:v>912</c:v>
                </c:pt>
                <c:pt idx="57">
                  <c:v>912</c:v>
                </c:pt>
                <c:pt idx="58">
                  <c:v>913</c:v>
                </c:pt>
                <c:pt idx="59">
                  <c:v>914</c:v>
                </c:pt>
                <c:pt idx="60">
                  <c:v>917</c:v>
                </c:pt>
                <c:pt idx="61">
                  <c:v>918</c:v>
                </c:pt>
                <c:pt idx="62">
                  <c:v>926</c:v>
                </c:pt>
                <c:pt idx="63">
                  <c:v>928</c:v>
                </c:pt>
                <c:pt idx="64">
                  <c:v>930</c:v>
                </c:pt>
                <c:pt idx="65">
                  <c:v>933</c:v>
                </c:pt>
                <c:pt idx="66">
                  <c:v>934</c:v>
                </c:pt>
                <c:pt idx="67">
                  <c:v>941</c:v>
                </c:pt>
                <c:pt idx="68">
                  <c:v>941</c:v>
                </c:pt>
                <c:pt idx="69">
                  <c:v>961</c:v>
                </c:pt>
                <c:pt idx="70">
                  <c:v>968</c:v>
                </c:pt>
                <c:pt idx="71">
                  <c:v>969</c:v>
                </c:pt>
                <c:pt idx="72">
                  <c:v>969</c:v>
                </c:pt>
                <c:pt idx="73">
                  <c:v>976</c:v>
                </c:pt>
                <c:pt idx="74">
                  <c:v>982</c:v>
                </c:pt>
                <c:pt idx="75">
                  <c:v>988</c:v>
                </c:pt>
                <c:pt idx="76">
                  <c:v>994</c:v>
                </c:pt>
                <c:pt idx="77">
                  <c:v>995</c:v>
                </c:pt>
                <c:pt idx="78">
                  <c:v>997</c:v>
                </c:pt>
                <c:pt idx="79">
                  <c:v>997</c:v>
                </c:pt>
                <c:pt idx="80">
                  <c:v>1006</c:v>
                </c:pt>
                <c:pt idx="81">
                  <c:v>1010</c:v>
                </c:pt>
                <c:pt idx="82">
                  <c:v>1012</c:v>
                </c:pt>
                <c:pt idx="83">
                  <c:v>1013</c:v>
                </c:pt>
                <c:pt idx="84">
                  <c:v>1014</c:v>
                </c:pt>
                <c:pt idx="85">
                  <c:v>1016</c:v>
                </c:pt>
                <c:pt idx="86">
                  <c:v>1022</c:v>
                </c:pt>
                <c:pt idx="87">
                  <c:v>1026</c:v>
                </c:pt>
                <c:pt idx="88">
                  <c:v>1036</c:v>
                </c:pt>
                <c:pt idx="89">
                  <c:v>1039</c:v>
                </c:pt>
                <c:pt idx="90">
                  <c:v>1040</c:v>
                </c:pt>
                <c:pt idx="91">
                  <c:v>1045</c:v>
                </c:pt>
                <c:pt idx="92">
                  <c:v>1052</c:v>
                </c:pt>
                <c:pt idx="93">
                  <c:v>1055</c:v>
                </c:pt>
                <c:pt idx="94">
                  <c:v>1062</c:v>
                </c:pt>
                <c:pt idx="95">
                  <c:v>1065</c:v>
                </c:pt>
                <c:pt idx="96">
                  <c:v>1068</c:v>
                </c:pt>
                <c:pt idx="97">
                  <c:v>1071</c:v>
                </c:pt>
                <c:pt idx="98">
                  <c:v>1071</c:v>
                </c:pt>
                <c:pt idx="99">
                  <c:v>1072</c:v>
                </c:pt>
                <c:pt idx="100">
                  <c:v>1072</c:v>
                </c:pt>
                <c:pt idx="101">
                  <c:v>1076</c:v>
                </c:pt>
                <c:pt idx="102">
                  <c:v>1078</c:v>
                </c:pt>
                <c:pt idx="103">
                  <c:v>1081</c:v>
                </c:pt>
                <c:pt idx="104">
                  <c:v>1092</c:v>
                </c:pt>
                <c:pt idx="105">
                  <c:v>1093</c:v>
                </c:pt>
                <c:pt idx="106">
                  <c:v>1096</c:v>
                </c:pt>
                <c:pt idx="107">
                  <c:v>1102</c:v>
                </c:pt>
                <c:pt idx="108">
                  <c:v>1103</c:v>
                </c:pt>
                <c:pt idx="109">
                  <c:v>1103</c:v>
                </c:pt>
                <c:pt idx="110">
                  <c:v>1105</c:v>
                </c:pt>
                <c:pt idx="111">
                  <c:v>1106</c:v>
                </c:pt>
                <c:pt idx="112">
                  <c:v>1118</c:v>
                </c:pt>
                <c:pt idx="113">
                  <c:v>1125</c:v>
                </c:pt>
                <c:pt idx="114">
                  <c:v>1130</c:v>
                </c:pt>
                <c:pt idx="115">
                  <c:v>1139</c:v>
                </c:pt>
                <c:pt idx="116">
                  <c:v>1146</c:v>
                </c:pt>
                <c:pt idx="117">
                  <c:v>1147</c:v>
                </c:pt>
                <c:pt idx="118">
                  <c:v>1157</c:v>
                </c:pt>
                <c:pt idx="119">
                  <c:v>1161</c:v>
                </c:pt>
                <c:pt idx="120">
                  <c:v>1168</c:v>
                </c:pt>
                <c:pt idx="121">
                  <c:v>1178</c:v>
                </c:pt>
                <c:pt idx="122">
                  <c:v>1180</c:v>
                </c:pt>
                <c:pt idx="123">
                  <c:v>1181</c:v>
                </c:pt>
                <c:pt idx="124">
                  <c:v>1182</c:v>
                </c:pt>
                <c:pt idx="125">
                  <c:v>1184</c:v>
                </c:pt>
                <c:pt idx="126">
                  <c:v>1192</c:v>
                </c:pt>
                <c:pt idx="127">
                  <c:v>1201</c:v>
                </c:pt>
                <c:pt idx="128">
                  <c:v>1201</c:v>
                </c:pt>
                <c:pt idx="129">
                  <c:v>1204</c:v>
                </c:pt>
                <c:pt idx="130">
                  <c:v>1206</c:v>
                </c:pt>
                <c:pt idx="131">
                  <c:v>1208</c:v>
                </c:pt>
                <c:pt idx="132">
                  <c:v>1208</c:v>
                </c:pt>
                <c:pt idx="133">
                  <c:v>1210</c:v>
                </c:pt>
                <c:pt idx="134">
                  <c:v>1223</c:v>
                </c:pt>
                <c:pt idx="135">
                  <c:v>1225</c:v>
                </c:pt>
                <c:pt idx="136">
                  <c:v>1228</c:v>
                </c:pt>
                <c:pt idx="137">
                  <c:v>1233</c:v>
                </c:pt>
                <c:pt idx="138">
                  <c:v>1235</c:v>
                </c:pt>
                <c:pt idx="139">
                  <c:v>1251</c:v>
                </c:pt>
                <c:pt idx="140">
                  <c:v>1266</c:v>
                </c:pt>
                <c:pt idx="141">
                  <c:v>1268</c:v>
                </c:pt>
                <c:pt idx="142">
                  <c:v>1271</c:v>
                </c:pt>
                <c:pt idx="143">
                  <c:v>1272</c:v>
                </c:pt>
                <c:pt idx="144">
                  <c:v>1274</c:v>
                </c:pt>
                <c:pt idx="145">
                  <c:v>1274</c:v>
                </c:pt>
                <c:pt idx="146">
                  <c:v>1278</c:v>
                </c:pt>
                <c:pt idx="147">
                  <c:v>1281</c:v>
                </c:pt>
                <c:pt idx="148">
                  <c:v>1282</c:v>
                </c:pt>
                <c:pt idx="149">
                  <c:v>1283</c:v>
                </c:pt>
                <c:pt idx="150">
                  <c:v>1294</c:v>
                </c:pt>
                <c:pt idx="151">
                  <c:v>1295</c:v>
                </c:pt>
                <c:pt idx="152">
                  <c:v>1296</c:v>
                </c:pt>
                <c:pt idx="153">
                  <c:v>1299</c:v>
                </c:pt>
                <c:pt idx="154">
                  <c:v>1318</c:v>
                </c:pt>
                <c:pt idx="155">
                  <c:v>1319</c:v>
                </c:pt>
                <c:pt idx="156">
                  <c:v>1324</c:v>
                </c:pt>
                <c:pt idx="157">
                  <c:v>1331</c:v>
                </c:pt>
                <c:pt idx="158">
                  <c:v>1332</c:v>
                </c:pt>
                <c:pt idx="159">
                  <c:v>1338</c:v>
                </c:pt>
                <c:pt idx="160">
                  <c:v>1340</c:v>
                </c:pt>
                <c:pt idx="161">
                  <c:v>1344</c:v>
                </c:pt>
                <c:pt idx="162">
                  <c:v>1349</c:v>
                </c:pt>
                <c:pt idx="163">
                  <c:v>1352</c:v>
                </c:pt>
                <c:pt idx="164">
                  <c:v>1353</c:v>
                </c:pt>
                <c:pt idx="165">
                  <c:v>1361</c:v>
                </c:pt>
                <c:pt idx="166">
                  <c:v>1362</c:v>
                </c:pt>
                <c:pt idx="167">
                  <c:v>1363</c:v>
                </c:pt>
                <c:pt idx="168">
                  <c:v>1364</c:v>
                </c:pt>
                <c:pt idx="169">
                  <c:v>1368</c:v>
                </c:pt>
                <c:pt idx="170">
                  <c:v>1373</c:v>
                </c:pt>
                <c:pt idx="171">
                  <c:v>1373</c:v>
                </c:pt>
                <c:pt idx="172">
                  <c:v>1376</c:v>
                </c:pt>
                <c:pt idx="173">
                  <c:v>1377</c:v>
                </c:pt>
              </c:numCache>
            </c:numRef>
          </c:xVal>
          <c:yVal>
            <c:numRef>
              <c:f>'pplot arrival  3'!C2:C175</c:f>
              <c:numCache>
                <c:formatCode>General</c:formatCode>
                <c:ptCount val="174"/>
                <c:pt idx="0">
                  <c:v>0.4748415682593351</c:v>
                </c:pt>
                <c:pt idx="1">
                  <c:v>0.48194599828109896</c:v>
                </c:pt>
                <c:pt idx="2">
                  <c:v>0.48496125638722509</c:v>
                </c:pt>
                <c:pt idx="3">
                  <c:v>0.48696167221145281</c:v>
                </c:pt>
                <c:pt idx="4">
                  <c:v>0.48696167221145281</c:v>
                </c:pt>
                <c:pt idx="5">
                  <c:v>0.49242284424507887</c:v>
                </c:pt>
                <c:pt idx="6">
                  <c:v>0.49242284424507887</c:v>
                </c:pt>
                <c:pt idx="7">
                  <c:v>0.49340952071236621</c:v>
                </c:pt>
                <c:pt idx="8">
                  <c:v>0.49439427918464529</c:v>
                </c:pt>
                <c:pt idx="9">
                  <c:v>0.49880205691899271</c:v>
                </c:pt>
                <c:pt idx="10">
                  <c:v>0.50268781210177882</c:v>
                </c:pt>
                <c:pt idx="11">
                  <c:v>0.5046193777996808</c:v>
                </c:pt>
                <c:pt idx="12">
                  <c:v>0.50846003167055187</c:v>
                </c:pt>
                <c:pt idx="13">
                  <c:v>0.50893801500386537</c:v>
                </c:pt>
                <c:pt idx="14">
                  <c:v>0.51036917800775616</c:v>
                </c:pt>
                <c:pt idx="15">
                  <c:v>0.51179616999534705</c:v>
                </c:pt>
                <c:pt idx="16">
                  <c:v>0.51227090920077745</c:v>
                </c:pt>
                <c:pt idx="17">
                  <c:v>0.51227090920077745</c:v>
                </c:pt>
                <c:pt idx="18">
                  <c:v>0.51652284176070085</c:v>
                </c:pt>
                <c:pt idx="19">
                  <c:v>0.5212037510297276</c:v>
                </c:pt>
                <c:pt idx="20">
                  <c:v>0.52306340062871226</c:v>
                </c:pt>
                <c:pt idx="21">
                  <c:v>0.52352718335287485</c:v>
                </c:pt>
                <c:pt idx="22">
                  <c:v>0.52445339626485787</c:v>
                </c:pt>
                <c:pt idx="23">
                  <c:v>0.52676105918547889</c:v>
                </c:pt>
                <c:pt idx="24">
                  <c:v>0.53088666928139427</c:v>
                </c:pt>
                <c:pt idx="25">
                  <c:v>0.53497631306685722</c:v>
                </c:pt>
                <c:pt idx="26">
                  <c:v>0.53768291592469342</c:v>
                </c:pt>
                <c:pt idx="27">
                  <c:v>0.53947856027623819</c:v>
                </c:pt>
                <c:pt idx="28">
                  <c:v>0.53992638056961051</c:v>
                </c:pt>
                <c:pt idx="29">
                  <c:v>0.53992638056961051</c:v>
                </c:pt>
                <c:pt idx="30">
                  <c:v>0.54393721781372961</c:v>
                </c:pt>
                <c:pt idx="31">
                  <c:v>0.54570857039184295</c:v>
                </c:pt>
                <c:pt idx="32">
                  <c:v>0.54570857039184295</c:v>
                </c:pt>
                <c:pt idx="33">
                  <c:v>0.54615033249830558</c:v>
                </c:pt>
                <c:pt idx="34">
                  <c:v>0.54791308931602078</c:v>
                </c:pt>
                <c:pt idx="35">
                  <c:v>0.54791308931602078</c:v>
                </c:pt>
                <c:pt idx="36">
                  <c:v>0.548352707704024</c:v>
                </c:pt>
                <c:pt idx="37">
                  <c:v>0.54966899956796555</c:v>
                </c:pt>
                <c:pt idx="38">
                  <c:v>0.55185429990139401</c:v>
                </c:pt>
                <c:pt idx="39">
                  <c:v>0.55359490245053133</c:v>
                </c:pt>
                <c:pt idx="40">
                  <c:v>0.55402899572937492</c:v>
                </c:pt>
                <c:pt idx="41">
                  <c:v>0.55619313851189944</c:v>
                </c:pt>
                <c:pt idx="42">
                  <c:v>0.55662470521383489</c:v>
                </c:pt>
                <c:pt idx="43">
                  <c:v>0.55705585225164544</c:v>
                </c:pt>
                <c:pt idx="44">
                  <c:v>0.55877625191748315</c:v>
                </c:pt>
                <c:pt idx="45">
                  <c:v>0.55963394435715541</c:v>
                </c:pt>
                <c:pt idx="46">
                  <c:v>0.55963394435715541</c:v>
                </c:pt>
                <c:pt idx="47">
                  <c:v>0.56091735791035546</c:v>
                </c:pt>
                <c:pt idx="48">
                  <c:v>0.5621970310518517</c:v>
                </c:pt>
                <c:pt idx="49">
                  <c:v>0.56262275944814788</c:v>
                </c:pt>
                <c:pt idx="50">
                  <c:v>0.56937838439638055</c:v>
                </c:pt>
                <c:pt idx="51">
                  <c:v>0.57230106285156901</c:v>
                </c:pt>
                <c:pt idx="52">
                  <c:v>0.5772652930366069</c:v>
                </c:pt>
                <c:pt idx="53">
                  <c:v>0.5817652043186019</c:v>
                </c:pt>
                <c:pt idx="54">
                  <c:v>0.58338963260462762</c:v>
                </c:pt>
                <c:pt idx="55">
                  <c:v>0.58782435173593583</c:v>
                </c:pt>
                <c:pt idx="56">
                  <c:v>0.58822515961110722</c:v>
                </c:pt>
                <c:pt idx="57">
                  <c:v>0.58822515961110722</c:v>
                </c:pt>
                <c:pt idx="58">
                  <c:v>0.58862557773265411</c:v>
                </c:pt>
                <c:pt idx="59">
                  <c:v>0.58902560647958069</c:v>
                </c:pt>
                <c:pt idx="60">
                  <c:v>0.59022336025715638</c:v>
                </c:pt>
                <c:pt idx="61">
                  <c:v>0.59062183528827927</c:v>
                </c:pt>
                <c:pt idx="62">
                  <c:v>0.59379571767787831</c:v>
                </c:pt>
                <c:pt idx="63">
                  <c:v>0.59458533596887997</c:v>
                </c:pt>
                <c:pt idx="64">
                  <c:v>0.59537341932518817</c:v>
                </c:pt>
                <c:pt idx="65">
                  <c:v>0.59655267288247016</c:v>
                </c:pt>
                <c:pt idx="66">
                  <c:v>0.59694499316292959</c:v>
                </c:pt>
                <c:pt idx="67">
                  <c:v>0.59968057387242846</c:v>
                </c:pt>
                <c:pt idx="68">
                  <c:v>0.59968057387242846</c:v>
                </c:pt>
                <c:pt idx="69">
                  <c:v>0.60739464166435042</c:v>
                </c:pt>
                <c:pt idx="70">
                  <c:v>0.6100592994070666</c:v>
                </c:pt>
                <c:pt idx="71">
                  <c:v>0.61043848557273572</c:v>
                </c:pt>
                <c:pt idx="72">
                  <c:v>0.61043848557273572</c:v>
                </c:pt>
                <c:pt idx="73">
                  <c:v>0.6130824843966014</c:v>
                </c:pt>
                <c:pt idx="74">
                  <c:v>0.61533448162363635</c:v>
                </c:pt>
                <c:pt idx="75">
                  <c:v>0.61757337142775548</c:v>
                </c:pt>
                <c:pt idx="76">
                  <c:v>0.61979923009881088</c:v>
                </c:pt>
                <c:pt idx="77">
                  <c:v>0.62016894496033748</c:v>
                </c:pt>
                <c:pt idx="78">
                  <c:v>0.62090729647853216</c:v>
                </c:pt>
                <c:pt idx="79">
                  <c:v>0.62090729647853216</c:v>
                </c:pt>
                <c:pt idx="80">
                  <c:v>0.62421215698355348</c:v>
                </c:pt>
                <c:pt idx="81">
                  <c:v>0.62567172086499934</c:v>
                </c:pt>
                <c:pt idx="82">
                  <c:v>0.62639937556709757</c:v>
                </c:pt>
                <c:pt idx="83">
                  <c:v>0.62676267231466687</c:v>
                </c:pt>
                <c:pt idx="84">
                  <c:v>0.62712561578518544</c:v>
                </c:pt>
                <c:pt idx="85">
                  <c:v>0.62785044426887049</c:v>
                </c:pt>
                <c:pt idx="86">
                  <c:v>0.63001648672947552</c:v>
                </c:pt>
                <c:pt idx="87">
                  <c:v>0.63145350653396282</c:v>
                </c:pt>
                <c:pt idx="88">
                  <c:v>0.63502168481898247</c:v>
                </c:pt>
                <c:pt idx="89">
                  <c:v>0.63608538650607915</c:v>
                </c:pt>
                <c:pt idx="90">
                  <c:v>0.63643926438215603</c:v>
                </c:pt>
                <c:pt idx="91">
                  <c:v>0.6382034986809384</c:v>
                </c:pt>
                <c:pt idx="92">
                  <c:v>0.64065905316601812</c:v>
                </c:pt>
                <c:pt idx="93">
                  <c:v>0.64170632516956361</c:v>
                </c:pt>
                <c:pt idx="94">
                  <c:v>0.64413810556820739</c:v>
                </c:pt>
                <c:pt idx="95">
                  <c:v>0.64517523813673494</c:v>
                </c:pt>
                <c:pt idx="96">
                  <c:v>0.64620934806085595</c:v>
                </c:pt>
                <c:pt idx="97">
                  <c:v>0.64724044414983894</c:v>
                </c:pt>
                <c:pt idx="98">
                  <c:v>0.64724044414983894</c:v>
                </c:pt>
                <c:pt idx="99">
                  <c:v>0.64758347462391508</c:v>
                </c:pt>
                <c:pt idx="100">
                  <c:v>0.64758347462391508</c:v>
                </c:pt>
                <c:pt idx="101">
                  <c:v>0.64895226406514539</c:v>
                </c:pt>
                <c:pt idx="102">
                  <c:v>0.6496346638461723</c:v>
                </c:pt>
                <c:pt idx="103">
                  <c:v>0.65065577711144185</c:v>
                </c:pt>
                <c:pt idx="104">
                  <c:v>0.65437446399468424</c:v>
                </c:pt>
                <c:pt idx="105">
                  <c:v>0.65471055720464122</c:v>
                </c:pt>
                <c:pt idx="106">
                  <c:v>0.65571687716273519</c:v>
                </c:pt>
                <c:pt idx="107">
                  <c:v>0.65772072709631946</c:v>
                </c:pt>
                <c:pt idx="108">
                  <c:v>0.65805356633285728</c:v>
                </c:pt>
                <c:pt idx="109">
                  <c:v>0.65805356633285728</c:v>
                </c:pt>
                <c:pt idx="110">
                  <c:v>0.65871827414199891</c:v>
                </c:pt>
                <c:pt idx="111">
                  <c:v>0.65905014334376288</c:v>
                </c:pt>
                <c:pt idx="112">
                  <c:v>0.66300749142903492</c:v>
                </c:pt>
                <c:pt idx="113">
                  <c:v>0.66529469836122679</c:v>
                </c:pt>
                <c:pt idx="114">
                  <c:v>0.66691890723552083</c:v>
                </c:pt>
                <c:pt idx="115">
                  <c:v>0.66982264697575133</c:v>
                </c:pt>
                <c:pt idx="116">
                  <c:v>0.67206359866305199</c:v>
                </c:pt>
                <c:pt idx="117">
                  <c:v>0.67238249060333222</c:v>
                </c:pt>
                <c:pt idx="118">
                  <c:v>0.67555440433347647</c:v>
                </c:pt>
                <c:pt idx="119">
                  <c:v>0.6768145543934887</c:v>
                </c:pt>
                <c:pt idx="120">
                  <c:v>0.67900805120061158</c:v>
                </c:pt>
                <c:pt idx="121">
                  <c:v>0.68211581785062214</c:v>
                </c:pt>
                <c:pt idx="122">
                  <c:v>0.68273375118015367</c:v>
                </c:pt>
                <c:pt idx="123">
                  <c:v>0.68304226724991324</c:v>
                </c:pt>
                <c:pt idx="124">
                  <c:v>0.68335048331245274</c:v>
                </c:pt>
                <c:pt idx="125">
                  <c:v>0.68396601658252054</c:v>
                </c:pt>
                <c:pt idx="126">
                  <c:v>0.68641620758181321</c:v>
                </c:pt>
                <c:pt idx="127">
                  <c:v>0.68914997344159046</c:v>
                </c:pt>
                <c:pt idx="128">
                  <c:v>0.68914997344159046</c:v>
                </c:pt>
                <c:pt idx="129">
                  <c:v>0.69005592232658175</c:v>
                </c:pt>
                <c:pt idx="130">
                  <c:v>0.69065842093028795</c:v>
                </c:pt>
                <c:pt idx="131">
                  <c:v>0.69125974834024129</c:v>
                </c:pt>
                <c:pt idx="132">
                  <c:v>0.69125974834024129</c:v>
                </c:pt>
                <c:pt idx="133">
                  <c:v>0.69185990683311904</c:v>
                </c:pt>
                <c:pt idx="134">
                  <c:v>0.69573260119176805</c:v>
                </c:pt>
                <c:pt idx="135">
                  <c:v>0.69632406493036036</c:v>
                </c:pt>
                <c:pt idx="136">
                  <c:v>0.69720910546846482</c:v>
                </c:pt>
                <c:pt idx="137">
                  <c:v>0.6986784447814236</c:v>
                </c:pt>
                <c:pt idx="138">
                  <c:v>0.69926418211071384</c:v>
                </c:pt>
                <c:pt idx="139">
                  <c:v>0.70390927610690956</c:v>
                </c:pt>
                <c:pt idx="140">
                  <c:v>0.70819886980762126</c:v>
                </c:pt>
                <c:pt idx="141">
                  <c:v>0.70876610043457977</c:v>
                </c:pt>
                <c:pt idx="142">
                  <c:v>0.70961487960151159</c:v>
                </c:pt>
                <c:pt idx="143">
                  <c:v>0.70989725592233122</c:v>
                </c:pt>
                <c:pt idx="144">
                  <c:v>0.71046118506577582</c:v>
                </c:pt>
                <c:pt idx="145">
                  <c:v>0.71046118506577582</c:v>
                </c:pt>
                <c:pt idx="146">
                  <c:v>0.71158575682723169</c:v>
                </c:pt>
                <c:pt idx="147">
                  <c:v>0.71242631831892866</c:v>
                </c:pt>
                <c:pt idx="148">
                  <c:v>0.71270596074029724</c:v>
                </c:pt>
                <c:pt idx="149">
                  <c:v>0.71298533123176133</c:v>
                </c:pt>
                <c:pt idx="150">
                  <c:v>0.71604053470763807</c:v>
                </c:pt>
                <c:pt idx="151">
                  <c:v>0.71631666259243176</c:v>
                </c:pt>
                <c:pt idx="152">
                  <c:v>0.71659252196492673</c:v>
                </c:pt>
                <c:pt idx="153">
                  <c:v>0.71741849161841764</c:v>
                </c:pt>
                <c:pt idx="154">
                  <c:v>0.72259402034077125</c:v>
                </c:pt>
                <c:pt idx="155">
                  <c:v>0.72286377548456804</c:v>
                </c:pt>
                <c:pt idx="156">
                  <c:v>0.72420862157168542</c:v>
                </c:pt>
                <c:pt idx="157">
                  <c:v>0.72608044939140426</c:v>
                </c:pt>
                <c:pt idx="158">
                  <c:v>0.72634681426159897</c:v>
                </c:pt>
                <c:pt idx="159">
                  <c:v>0.72793957290032618</c:v>
                </c:pt>
                <c:pt idx="160">
                  <c:v>0.72846842968210979</c:v>
                </c:pt>
                <c:pt idx="161">
                  <c:v>0.72952306111863274</c:v>
                </c:pt>
                <c:pt idx="162">
                  <c:v>0.73083559199959602</c:v>
                </c:pt>
                <c:pt idx="163">
                  <c:v>0.73162005130303287</c:v>
                </c:pt>
                <c:pt idx="164">
                  <c:v>0.73188102935311616</c:v>
                </c:pt>
                <c:pt idx="165">
                  <c:v>0.73395973836255446</c:v>
                </c:pt>
                <c:pt idx="166">
                  <c:v>0.73421844125396984</c:v>
                </c:pt>
                <c:pt idx="167">
                  <c:v>0.73447689257749993</c:v>
                </c:pt>
                <c:pt idx="168">
                  <c:v>0.73473509257777425</c:v>
                </c:pt>
                <c:pt idx="169">
                  <c:v>0.73576538423058757</c:v>
                </c:pt>
                <c:pt idx="170">
                  <c:v>0.73704762328006512</c:v>
                </c:pt>
                <c:pt idx="171">
                  <c:v>0.73704762328006512</c:v>
                </c:pt>
                <c:pt idx="172">
                  <c:v>0.73781397808830729</c:v>
                </c:pt>
                <c:pt idx="173">
                  <c:v>0.73806893303963605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79-434D-B742-6376400E3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898631"/>
        <c:axId val="1471900679"/>
      </c:scatterChart>
      <c:valAx>
        <c:axId val="1471898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00679"/>
        <c:crosses val="autoZero"/>
        <c:crossBetween val="midCat"/>
      </c:valAx>
      <c:valAx>
        <c:axId val="1471900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898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D098-485E-B555-455E75ADE338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Exponential InterArrivals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Exponential InterArrivals</a:t>
          </a:r>
        </a:p>
      </cx:txPr>
    </cx:title>
    <cx:plotArea>
      <cx:plotAreaRegion>
        <cx:series layoutId="clusteredColumn" uniqueId="{00000000-DE07-400E-BB72-57E0F995E1D5}" formatIdx="0">
          <cx:tx>
            <cx:txData>
              <cx:f>_xlchart.v1.1</cx:f>
              <cx:v>0</cx:v>
            </cx:txData>
          </cx:tx>
          <cx:dataId val="0"/>
          <cx:layoutPr>
            <cx:binning intervalClosed="r"/>
          </cx:layoutPr>
        </cx:series>
        <cx:series layoutId="clusteredColumn" hidden="1" uniqueId="{E17FEABF-BEB8-43D0-BEB9-A04ACE1B138A}" formatIdx="0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D098-485E-B555-455E75ADE338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0-D098-485E-B555-455E75ADE338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E-89A2-42DB-8070-FC262326AB53}" formatIdx="0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0000000F-89A2-42DB-8070-FC262326AB53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34</xdr:row>
      <xdr:rowOff>180975</xdr:rowOff>
    </xdr:from>
    <xdr:to>
      <xdr:col>6</xdr:col>
      <xdr:colOff>1047750</xdr:colOff>
      <xdr:row>51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BBC96A-C181-20BA-D498-6BD63FD95C54}"/>
            </a:ext>
            <a:ext uri="{147F2762-F138-4A5C-976F-8EAC2B608ADB}">
              <a16:predDERef xmlns:a16="http://schemas.microsoft.com/office/drawing/2014/main" pred="{FC97EB09-F7C9-0CD8-724E-4FDEAE980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56</xdr:row>
      <xdr:rowOff>0</xdr:rowOff>
    </xdr:from>
    <xdr:to>
      <xdr:col>6</xdr:col>
      <xdr:colOff>847725</xdr:colOff>
      <xdr:row>71</xdr:row>
      <xdr:rowOff>104775</xdr:rowOff>
    </xdr:to>
    <xdr:graphicFrame macro="">
      <xdr:nvGraphicFramePr>
        <xdr:cNvPr id="28" name="Chart 2">
          <a:extLst>
            <a:ext uri="{FF2B5EF4-FFF2-40B4-BE49-F238E27FC236}">
              <a16:creationId xmlns:a16="http://schemas.microsoft.com/office/drawing/2014/main" id="{D20911BF-AD35-E785-4E1D-B7A18F514E4D}"/>
            </a:ext>
            <a:ext uri="{147F2762-F138-4A5C-976F-8EAC2B608ADB}">
              <a16:predDERef xmlns:a16="http://schemas.microsoft.com/office/drawing/2014/main" pred="{9FBBC96A-C181-20BA-D498-6BD63FD95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428625</xdr:colOff>
      <xdr:row>3</xdr:row>
      <xdr:rowOff>38100</xdr:rowOff>
    </xdr:from>
    <xdr:to>
      <xdr:col>6</xdr:col>
      <xdr:colOff>438150</xdr:colOff>
      <xdr:row>14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CBEEDE-DEA0-9FF2-1B0C-CEF66676C24E}"/>
            </a:ext>
            <a:ext uri="{147F2762-F138-4A5C-976F-8EAC2B608ADB}">
              <a16:predDERef xmlns:a16="http://schemas.microsoft.com/office/drawing/2014/main" pred="{4C07FB19-88C2-9FC9-7F41-6863B8AE8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314325</xdr:colOff>
      <xdr:row>18</xdr:row>
      <xdr:rowOff>0</xdr:rowOff>
    </xdr:from>
    <xdr:to>
      <xdr:col>6</xdr:col>
      <xdr:colOff>361950</xdr:colOff>
      <xdr:row>30</xdr:row>
      <xdr:rowOff>123825</xdr:rowOff>
    </xdr:to>
    <xdr:graphicFrame macro="">
      <xdr:nvGraphicFramePr>
        <xdr:cNvPr id="54" name="Chart 9">
          <a:extLst>
            <a:ext uri="{FF2B5EF4-FFF2-40B4-BE49-F238E27FC236}">
              <a16:creationId xmlns:a16="http://schemas.microsoft.com/office/drawing/2014/main" id="{31AB9329-2495-4858-EB55-BDFD5162A966}"/>
            </a:ext>
            <a:ext uri="{147F2762-F138-4A5C-976F-8EAC2B608ADB}">
              <a16:predDERef xmlns:a16="http://schemas.microsoft.com/office/drawing/2014/main" pred="{11CBEEDE-DEA0-9FF2-1B0C-CEF66676C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533400</xdr:colOff>
      <xdr:row>74</xdr:row>
      <xdr:rowOff>142875</xdr:rowOff>
    </xdr:from>
    <xdr:to>
      <xdr:col>7</xdr:col>
      <xdr:colOff>628650</xdr:colOff>
      <xdr:row>89</xdr:row>
      <xdr:rowOff>180975</xdr:rowOff>
    </xdr:to>
    <xdr:graphicFrame macro="">
      <xdr:nvGraphicFramePr>
        <xdr:cNvPr id="59" name="Chart 10">
          <a:extLst>
            <a:ext uri="{FF2B5EF4-FFF2-40B4-BE49-F238E27FC236}">
              <a16:creationId xmlns:a16="http://schemas.microsoft.com/office/drawing/2014/main" id="{3DC4246D-F516-B4A4-5193-F41DE8B1E58B}"/>
            </a:ext>
            <a:ext uri="{147F2762-F138-4A5C-976F-8EAC2B608ADB}">
              <a16:predDERef xmlns:a16="http://schemas.microsoft.com/office/drawing/2014/main" pred="{31AB9329-2495-4858-EB55-BDFD5162A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1162050</xdr:colOff>
      <xdr:row>0</xdr:row>
      <xdr:rowOff>-76200</xdr:rowOff>
    </xdr:from>
    <xdr:to>
      <xdr:col>3</xdr:col>
      <xdr:colOff>1162050</xdr:colOff>
      <xdr:row>0</xdr:row>
      <xdr:rowOff>-76200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2">
              <a:extLst>
                <a:ext uri="{FF2B5EF4-FFF2-40B4-BE49-F238E27FC236}">
                  <a16:creationId xmlns:a16="http://schemas.microsoft.com/office/drawing/2014/main" id="{A19FDDBB-231E-4F1D-B6CB-BA3753253C79}"/>
                </a:ext>
                <a:ext uri="{147F2762-F138-4A5C-976F-8EAC2B608ADB}">
                  <a16:predDERef xmlns:a16="http://schemas.microsoft.com/office/drawing/2014/main" pred="{FD6F5F11-2B3D-4D37-B65B-3C886980A3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19050</xdr:colOff>
      <xdr:row>5</xdr:row>
      <xdr:rowOff>123825</xdr:rowOff>
    </xdr:from>
    <xdr:to>
      <xdr:col>12</xdr:col>
      <xdr:colOff>819150</xdr:colOff>
      <xdr:row>24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580027-7F16-5EEF-AE5D-B61AEB93CDFF}"/>
            </a:ext>
            <a:ext uri="{147F2762-F138-4A5C-976F-8EAC2B608ADB}">
              <a16:predDERef xmlns:a16="http://schemas.microsoft.com/office/drawing/2014/main" pred="{A19FDDBB-231E-4F1D-B6CB-BA3753253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</xdr:row>
      <xdr:rowOff>180975</xdr:rowOff>
    </xdr:from>
    <xdr:to>
      <xdr:col>16</xdr:col>
      <xdr:colOff>419100</xdr:colOff>
      <xdr:row>22</xdr:row>
      <xdr:rowOff>19050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D4BE172-038E-40A2-93A3-B659CC26E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34</xdr:row>
      <xdr:rowOff>114300</xdr:rowOff>
    </xdr:from>
    <xdr:to>
      <xdr:col>15</xdr:col>
      <xdr:colOff>57150</xdr:colOff>
      <xdr:row>49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4793ACA9-404B-49F4-90C6-5A0455ADDF52}"/>
                </a:ext>
                <a:ext uri="{147F2762-F138-4A5C-976F-8EAC2B608ADB}">
                  <a16:predDERef xmlns:a16="http://schemas.microsoft.com/office/drawing/2014/main" pred="{6D4BE172-038E-40A2-93A3-B659CC26ED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1162050</xdr:colOff>
      <xdr:row>0</xdr:row>
      <xdr:rowOff>-76200</xdr:rowOff>
    </xdr:from>
    <xdr:to>
      <xdr:col>2</xdr:col>
      <xdr:colOff>1162050</xdr:colOff>
      <xdr:row>0</xdr:row>
      <xdr:rowOff>-76200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2">
              <a:extLst>
                <a:ext uri="{FF2B5EF4-FFF2-40B4-BE49-F238E27FC236}">
                  <a16:creationId xmlns:a16="http://schemas.microsoft.com/office/drawing/2014/main" id="{A9CE0545-8F95-4EE6-977F-B82F177F0FAF}"/>
                </a:ext>
                <a:ext uri="{147F2762-F138-4A5C-976F-8EAC2B608ADB}">
                  <a16:predDERef xmlns:a16="http://schemas.microsoft.com/office/drawing/2014/main" pred="{4793ACA9-404B-49F4-90C6-5A0455ADDF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1162050</xdr:colOff>
      <xdr:row>0</xdr:row>
      <xdr:rowOff>-76200</xdr:rowOff>
    </xdr:from>
    <xdr:to>
      <xdr:col>2</xdr:col>
      <xdr:colOff>1162050</xdr:colOff>
      <xdr:row>0</xdr:row>
      <xdr:rowOff>-76200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47F751A-DBAB-7C4F-7940-ABD7404FB5C1}"/>
                </a:ext>
                <a:ext uri="{147F2762-F138-4A5C-976F-8EAC2B608ADB}">
                  <a16:predDERef xmlns:a16="http://schemas.microsoft.com/office/drawing/2014/main" pred="{1D1D31A7-3C7D-BCAC-4941-FA96F5517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314325</xdr:colOff>
      <xdr:row>1</xdr:row>
      <xdr:rowOff>85725</xdr:rowOff>
    </xdr:from>
    <xdr:to>
      <xdr:col>16</xdr:col>
      <xdr:colOff>304800</xdr:colOff>
      <xdr:row>15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33EE3-3F14-FEAD-A4A5-002801D95F79}"/>
            </a:ext>
            <a:ext uri="{147F2762-F138-4A5C-976F-8EAC2B608ADB}">
              <a16:predDERef xmlns:a16="http://schemas.microsoft.com/office/drawing/2014/main" pred="{947F751A-DBAB-7C4F-7940-ABD7404FB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1</xdr:row>
      <xdr:rowOff>85725</xdr:rowOff>
    </xdr:from>
    <xdr:to>
      <xdr:col>15</xdr:col>
      <xdr:colOff>495300</xdr:colOff>
      <xdr:row>26</xdr:row>
      <xdr:rowOff>19050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264000B-990E-644D-3318-B0208F954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</xdr:row>
      <xdr:rowOff>28575</xdr:rowOff>
    </xdr:from>
    <xdr:to>
      <xdr:col>14</xdr:col>
      <xdr:colOff>219075</xdr:colOff>
      <xdr:row>19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E3F0369-DC97-18E7-EB80-949FE7AC1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8FC4-DB65-4B33-931A-1ECCDCD0E49F}">
  <dimension ref="A1:H86"/>
  <sheetViews>
    <sheetView workbookViewId="0">
      <selection activeCell="B3" sqref="B3"/>
    </sheetView>
  </sheetViews>
  <sheetFormatPr defaultRowHeight="15"/>
  <cols>
    <col min="1" max="1" width="17.140625" customWidth="1"/>
    <col min="2" max="2" width="20.5703125" customWidth="1"/>
    <col min="3" max="3" width="21.42578125" customWidth="1"/>
  </cols>
  <sheetData>
    <row r="1" spans="1:8">
      <c r="A1" s="132" t="s">
        <v>0</v>
      </c>
      <c r="B1" s="132" t="s">
        <v>1</v>
      </c>
      <c r="C1" s="131"/>
      <c r="D1" s="131"/>
      <c r="E1" s="131"/>
      <c r="F1" s="131"/>
      <c r="G1" s="131"/>
      <c r="H1" s="131"/>
    </row>
    <row r="3" spans="1:8">
      <c r="A3">
        <v>4</v>
      </c>
      <c r="B3">
        <v>0</v>
      </c>
    </row>
    <row r="4" spans="1:8">
      <c r="A4">
        <v>0</v>
      </c>
      <c r="B4">
        <v>0</v>
      </c>
    </row>
    <row r="5" spans="1:8">
      <c r="A5">
        <v>2</v>
      </c>
      <c r="B5">
        <v>0</v>
      </c>
    </row>
    <row r="6" spans="1:8">
      <c r="A6">
        <v>1</v>
      </c>
      <c r="B6">
        <v>0</v>
      </c>
    </row>
    <row r="7" spans="1:8">
      <c r="A7">
        <v>14</v>
      </c>
      <c r="B7">
        <v>0</v>
      </c>
    </row>
    <row r="8" spans="1:8">
      <c r="A8">
        <v>8</v>
      </c>
      <c r="B8">
        <v>0</v>
      </c>
    </row>
    <row r="9" spans="1:8">
      <c r="A9">
        <v>6</v>
      </c>
      <c r="B9">
        <v>0</v>
      </c>
    </row>
    <row r="10" spans="1:8">
      <c r="A10">
        <v>3</v>
      </c>
      <c r="B10">
        <v>0</v>
      </c>
    </row>
    <row r="11" spans="1:8">
      <c r="A11">
        <v>1</v>
      </c>
      <c r="B11">
        <v>0</v>
      </c>
    </row>
    <row r="12" spans="1:8">
      <c r="A12">
        <v>0</v>
      </c>
      <c r="B12">
        <v>0</v>
      </c>
    </row>
    <row r="13" spans="1:8">
      <c r="A13">
        <v>4</v>
      </c>
      <c r="B13">
        <v>0</v>
      </c>
    </row>
    <row r="14" spans="1:8">
      <c r="A14">
        <v>11</v>
      </c>
      <c r="B14">
        <v>0</v>
      </c>
    </row>
    <row r="15" spans="1:8">
      <c r="A15">
        <v>10</v>
      </c>
      <c r="B15">
        <v>0</v>
      </c>
    </row>
    <row r="16" spans="1:8">
      <c r="A16">
        <v>0</v>
      </c>
      <c r="B16">
        <v>1</v>
      </c>
    </row>
    <row r="17" spans="1:2">
      <c r="A17">
        <v>10</v>
      </c>
      <c r="B17">
        <v>1</v>
      </c>
    </row>
    <row r="18" spans="1:2">
      <c r="A18">
        <v>13</v>
      </c>
      <c r="B18">
        <v>1</v>
      </c>
    </row>
    <row r="19" spans="1:2">
      <c r="A19">
        <v>2</v>
      </c>
      <c r="B19">
        <v>1</v>
      </c>
    </row>
    <row r="20" spans="1:2">
      <c r="A20">
        <v>2</v>
      </c>
      <c r="B20">
        <v>1</v>
      </c>
    </row>
    <row r="21" spans="1:2">
      <c r="A21">
        <v>1</v>
      </c>
      <c r="B21">
        <v>1</v>
      </c>
    </row>
    <row r="22" spans="1:2">
      <c r="A22">
        <v>1</v>
      </c>
      <c r="B22">
        <v>1</v>
      </c>
    </row>
    <row r="23" spans="1:2">
      <c r="A23">
        <v>3</v>
      </c>
      <c r="B23">
        <v>1</v>
      </c>
    </row>
    <row r="24" spans="1:2">
      <c r="A24">
        <v>11</v>
      </c>
      <c r="B24">
        <v>1</v>
      </c>
    </row>
    <row r="25" spans="1:2">
      <c r="A25">
        <v>18</v>
      </c>
      <c r="B25">
        <v>1</v>
      </c>
    </row>
    <row r="26" spans="1:2">
      <c r="A26">
        <v>6</v>
      </c>
      <c r="B26">
        <v>1</v>
      </c>
    </row>
    <row r="27" spans="1:2">
      <c r="A27">
        <v>4</v>
      </c>
      <c r="B27">
        <v>1</v>
      </c>
    </row>
    <row r="28" spans="1:2">
      <c r="A28">
        <v>5</v>
      </c>
      <c r="B28">
        <v>1</v>
      </c>
    </row>
    <row r="29" spans="1:2">
      <c r="A29">
        <v>1</v>
      </c>
      <c r="B29">
        <v>2</v>
      </c>
    </row>
    <row r="30" spans="1:2">
      <c r="A30">
        <v>7</v>
      </c>
      <c r="B30">
        <v>2</v>
      </c>
    </row>
    <row r="31" spans="1:2">
      <c r="A31">
        <v>8</v>
      </c>
      <c r="B31">
        <v>2</v>
      </c>
    </row>
    <row r="32" spans="1:2">
      <c r="A32">
        <v>3</v>
      </c>
      <c r="B32">
        <v>2</v>
      </c>
    </row>
    <row r="33" spans="1:2">
      <c r="A33">
        <v>3</v>
      </c>
      <c r="B33">
        <v>2</v>
      </c>
    </row>
    <row r="34" spans="1:2">
      <c r="A34">
        <v>4</v>
      </c>
      <c r="B34">
        <v>2</v>
      </c>
    </row>
    <row r="35" spans="1:2">
      <c r="A35">
        <v>5</v>
      </c>
      <c r="B35">
        <v>2</v>
      </c>
    </row>
    <row r="36" spans="1:2">
      <c r="A36">
        <v>8</v>
      </c>
      <c r="B36">
        <v>2</v>
      </c>
    </row>
    <row r="37" spans="1:2">
      <c r="A37">
        <v>1</v>
      </c>
      <c r="B37">
        <v>2</v>
      </c>
    </row>
    <row r="38" spans="1:2">
      <c r="A38">
        <v>3</v>
      </c>
      <c r="B38">
        <v>2</v>
      </c>
    </row>
    <row r="39" spans="1:2">
      <c r="A39">
        <v>3</v>
      </c>
      <c r="B39">
        <v>2</v>
      </c>
    </row>
    <row r="40" spans="1:2">
      <c r="A40">
        <v>2</v>
      </c>
      <c r="B40">
        <v>2</v>
      </c>
    </row>
    <row r="41" spans="1:2">
      <c r="A41">
        <v>3</v>
      </c>
      <c r="B41">
        <v>2</v>
      </c>
    </row>
    <row r="42" spans="1:2">
      <c r="A42">
        <v>0</v>
      </c>
      <c r="B42">
        <v>2</v>
      </c>
    </row>
    <row r="43" spans="1:2">
      <c r="A43">
        <v>0</v>
      </c>
      <c r="B43">
        <v>3</v>
      </c>
    </row>
    <row r="44" spans="1:2">
      <c r="A44">
        <v>7</v>
      </c>
      <c r="B44">
        <v>3</v>
      </c>
    </row>
    <row r="45" spans="1:2">
      <c r="A45">
        <v>2</v>
      </c>
      <c r="B45">
        <v>3</v>
      </c>
    </row>
    <row r="46" spans="1:2">
      <c r="A46">
        <v>0</v>
      </c>
      <c r="B46">
        <v>3</v>
      </c>
    </row>
    <row r="47" spans="1:2">
      <c r="A47">
        <v>3</v>
      </c>
      <c r="B47">
        <v>3</v>
      </c>
    </row>
    <row r="48" spans="1:2">
      <c r="A48">
        <v>6</v>
      </c>
      <c r="B48">
        <v>3</v>
      </c>
    </row>
    <row r="49" spans="1:2">
      <c r="A49">
        <v>1</v>
      </c>
      <c r="B49">
        <v>3</v>
      </c>
    </row>
    <row r="50" spans="1:2">
      <c r="A50">
        <v>0</v>
      </c>
      <c r="B50">
        <v>3</v>
      </c>
    </row>
    <row r="51" spans="1:2">
      <c r="A51">
        <v>3</v>
      </c>
      <c r="B51">
        <v>3</v>
      </c>
    </row>
    <row r="52" spans="1:2">
      <c r="A52">
        <v>3</v>
      </c>
      <c r="B52">
        <v>3</v>
      </c>
    </row>
    <row r="53" spans="1:2">
      <c r="A53">
        <v>5</v>
      </c>
      <c r="B53">
        <v>3</v>
      </c>
    </row>
    <row r="54" spans="1:2">
      <c r="A54">
        <v>3</v>
      </c>
      <c r="B54">
        <v>3</v>
      </c>
    </row>
    <row r="55" spans="1:2">
      <c r="A55">
        <v>2</v>
      </c>
      <c r="B55">
        <v>3</v>
      </c>
    </row>
    <row r="56" spans="1:2">
      <c r="A56">
        <v>6</v>
      </c>
      <c r="B56">
        <v>4</v>
      </c>
    </row>
    <row r="57" spans="1:2">
      <c r="A57">
        <v>1</v>
      </c>
      <c r="B57">
        <v>4</v>
      </c>
    </row>
    <row r="58" spans="1:2">
      <c r="A58">
        <v>2</v>
      </c>
      <c r="B58">
        <v>4</v>
      </c>
    </row>
    <row r="59" spans="1:2">
      <c r="A59">
        <v>0</v>
      </c>
      <c r="B59">
        <v>4</v>
      </c>
    </row>
    <row r="60" spans="1:2">
      <c r="A60">
        <v>1</v>
      </c>
      <c r="B60">
        <v>4</v>
      </c>
    </row>
    <row r="61" spans="1:2">
      <c r="A61">
        <v>14</v>
      </c>
      <c r="B61">
        <v>5</v>
      </c>
    </row>
    <row r="62" spans="1:2">
      <c r="A62">
        <v>8</v>
      </c>
      <c r="B62">
        <v>5</v>
      </c>
    </row>
    <row r="63" spans="1:2">
      <c r="A63">
        <v>5</v>
      </c>
      <c r="B63">
        <v>5</v>
      </c>
    </row>
    <row r="64" spans="1:2">
      <c r="A64">
        <v>1</v>
      </c>
      <c r="B64">
        <v>5</v>
      </c>
    </row>
    <row r="65" spans="1:2">
      <c r="A65">
        <v>1</v>
      </c>
      <c r="B65">
        <v>5</v>
      </c>
    </row>
    <row r="66" spans="1:2">
      <c r="A66">
        <v>5</v>
      </c>
      <c r="B66">
        <v>6</v>
      </c>
    </row>
    <row r="67" spans="1:2">
      <c r="A67">
        <v>2</v>
      </c>
      <c r="B67">
        <v>6</v>
      </c>
    </row>
    <row r="68" spans="1:2">
      <c r="A68">
        <v>12</v>
      </c>
      <c r="B68">
        <v>6</v>
      </c>
    </row>
    <row r="69" spans="1:2">
      <c r="A69">
        <v>3</v>
      </c>
      <c r="B69">
        <v>6</v>
      </c>
    </row>
    <row r="70" spans="1:2">
      <c r="A70">
        <v>2</v>
      </c>
      <c r="B70">
        <v>6</v>
      </c>
    </row>
    <row r="71" spans="1:2">
      <c r="A71">
        <v>1</v>
      </c>
      <c r="B71">
        <v>7</v>
      </c>
    </row>
    <row r="72" spans="1:2">
      <c r="A72">
        <v>2</v>
      </c>
      <c r="B72">
        <v>7</v>
      </c>
    </row>
    <row r="73" spans="1:2">
      <c r="A73">
        <v>6</v>
      </c>
      <c r="B73">
        <v>8</v>
      </c>
    </row>
    <row r="74" spans="1:2">
      <c r="A74">
        <v>0</v>
      </c>
      <c r="B74">
        <v>8</v>
      </c>
    </row>
    <row r="75" spans="1:2">
      <c r="A75">
        <v>0</v>
      </c>
      <c r="B75">
        <v>8</v>
      </c>
    </row>
    <row r="76" spans="1:2">
      <c r="A76">
        <v>0</v>
      </c>
      <c r="B76">
        <v>8</v>
      </c>
    </row>
    <row r="77" spans="1:2">
      <c r="A77">
        <v>0</v>
      </c>
      <c r="B77">
        <v>8</v>
      </c>
    </row>
    <row r="78" spans="1:2">
      <c r="A78">
        <v>8</v>
      </c>
      <c r="B78">
        <v>10</v>
      </c>
    </row>
    <row r="79" spans="1:2">
      <c r="A79">
        <v>3</v>
      </c>
      <c r="B79">
        <v>10</v>
      </c>
    </row>
    <row r="80" spans="1:2">
      <c r="A80">
        <v>2</v>
      </c>
      <c r="B80">
        <v>11</v>
      </c>
    </row>
    <row r="81" spans="1:2">
      <c r="A81">
        <v>1</v>
      </c>
      <c r="B81">
        <v>11</v>
      </c>
    </row>
    <row r="82" spans="1:2">
      <c r="A82">
        <v>2</v>
      </c>
      <c r="B82">
        <v>12</v>
      </c>
    </row>
    <row r="83" spans="1:2">
      <c r="A83">
        <v>2</v>
      </c>
      <c r="B83">
        <v>13</v>
      </c>
    </row>
    <row r="84" spans="1:2">
      <c r="A84">
        <v>4</v>
      </c>
      <c r="B84">
        <v>14</v>
      </c>
    </row>
    <row r="85" spans="1:2">
      <c r="A85">
        <v>0</v>
      </c>
      <c r="B85">
        <v>14</v>
      </c>
    </row>
    <row r="86" spans="1:2">
      <c r="A86">
        <v>2</v>
      </c>
      <c r="B86">
        <v>18</v>
      </c>
    </row>
  </sheetData>
  <sortState xmlns:xlrd2="http://schemas.microsoft.com/office/spreadsheetml/2017/richdata2" ref="B3:B86">
    <sortCondition ref="B3:B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3CC0-5C05-4214-A6ED-40F065942A01}">
  <dimension ref="A1:BA328"/>
  <sheetViews>
    <sheetView topLeftCell="B1" workbookViewId="0">
      <selection activeCell="G2" sqref="G2"/>
    </sheetView>
  </sheetViews>
  <sheetFormatPr defaultRowHeight="15"/>
  <cols>
    <col min="1" max="1" width="14.140625" customWidth="1"/>
    <col min="2" max="2" width="17.85546875" customWidth="1"/>
    <col min="3" max="3" width="17" customWidth="1"/>
    <col min="4" max="4" width="19.140625" customWidth="1"/>
    <col min="6" max="6" width="11.85546875" customWidth="1"/>
    <col min="7" max="8" width="11.5703125" bestFit="1" customWidth="1"/>
    <col min="9" max="9" width="11.5703125" style="1" bestFit="1" customWidth="1"/>
    <col min="10" max="10" width="15.85546875" customWidth="1"/>
    <col min="13" max="13" width="19.5703125" customWidth="1"/>
    <col min="14" max="14" width="14.140625" customWidth="1"/>
    <col min="15" max="15" width="20" customWidth="1"/>
    <col min="16" max="16" width="13.85546875" bestFit="1" customWidth="1"/>
    <col min="17" max="17" width="17.85546875" bestFit="1" customWidth="1"/>
    <col min="18" max="18" width="36.5703125" bestFit="1" customWidth="1"/>
  </cols>
  <sheetData>
    <row r="1" spans="1:33" s="11" customFormat="1">
      <c r="A1" s="12" t="s">
        <v>2</v>
      </c>
      <c r="B1" s="12" t="s">
        <v>3</v>
      </c>
      <c r="C1" s="12" t="s">
        <v>4</v>
      </c>
      <c r="D1" s="12" t="s">
        <v>5</v>
      </c>
      <c r="E1" s="12" t="s">
        <v>6</v>
      </c>
      <c r="F1" s="13" t="s">
        <v>7</v>
      </c>
      <c r="G1" s="12" t="s">
        <v>8</v>
      </c>
      <c r="H1" s="12" t="s">
        <v>9</v>
      </c>
      <c r="I1" s="14" t="s">
        <v>10</v>
      </c>
      <c r="J1" s="12" t="s">
        <v>11</v>
      </c>
      <c r="K1" s="12"/>
      <c r="L1" s="12"/>
      <c r="M1" s="12"/>
      <c r="N1" s="12"/>
      <c r="O1" s="12" t="s">
        <v>12</v>
      </c>
      <c r="P1" s="12" t="s">
        <v>13</v>
      </c>
      <c r="Q1" s="12"/>
      <c r="R1" s="12"/>
      <c r="S1" s="12"/>
      <c r="T1" s="12"/>
      <c r="U1" s="12"/>
      <c r="V1" s="12"/>
      <c r="W1" s="12"/>
      <c r="X1" s="12"/>
    </row>
    <row r="2" spans="1:33">
      <c r="A2" s="25">
        <v>0.4597222222222222</v>
      </c>
      <c r="B2" s="25">
        <v>0.4597222222222222</v>
      </c>
      <c r="C2" s="25">
        <v>0.46041666666666664</v>
      </c>
      <c r="D2" s="26" t="s">
        <v>14</v>
      </c>
      <c r="E2" s="26" t="s">
        <v>15</v>
      </c>
      <c r="F2" s="25">
        <f>C2-B2</f>
        <v>6.9444444444444198E-4</v>
      </c>
      <c r="G2" s="27">
        <f>HOUR(A2)*60+MINUTE(A2)</f>
        <v>662</v>
      </c>
      <c r="H2" s="25">
        <f>C2-B2</f>
        <v>6.9444444444444198E-4</v>
      </c>
      <c r="I2" s="27">
        <f>HOUR(H2)*60+MINUTE(H2)</f>
        <v>1</v>
      </c>
      <c r="J2" s="26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33">
      <c r="A3" s="25">
        <v>0.46944444444444444</v>
      </c>
      <c r="B3" s="25">
        <v>0.46944444444444444</v>
      </c>
      <c r="C3" s="25">
        <v>0.47222222222222221</v>
      </c>
      <c r="D3" s="26" t="s">
        <v>14</v>
      </c>
      <c r="E3" s="26" t="s">
        <v>15</v>
      </c>
      <c r="F3" s="25">
        <f t="shared" ref="F3:F66" si="0">C3-B3</f>
        <v>2.7777777777777679E-3</v>
      </c>
      <c r="G3" s="27">
        <f t="shared" ref="G3:G12" si="1">HOUR(A3)*60+MINUTE(A3)</f>
        <v>676</v>
      </c>
      <c r="H3" s="25">
        <f t="shared" ref="H3:H66" si="2">C3-B3</f>
        <v>2.7777777777777679E-3</v>
      </c>
      <c r="I3" s="27">
        <f>HOUR(H3)*60+MINUTE(H3)</f>
        <v>4</v>
      </c>
      <c r="J3" s="27">
        <f>G3-G2</f>
        <v>14</v>
      </c>
      <c r="K3" s="18">
        <f>AVERAGE(J3:J175)</f>
        <v>4.1329479768786124</v>
      </c>
      <c r="L3" s="35" t="s">
        <v>16</v>
      </c>
      <c r="M3" s="36" t="s">
        <v>17</v>
      </c>
      <c r="N3" s="37" t="s">
        <v>18</v>
      </c>
      <c r="O3" s="36" t="s">
        <v>19</v>
      </c>
      <c r="P3" s="36" t="s">
        <v>20</v>
      </c>
      <c r="Q3" s="36" t="s">
        <v>21</v>
      </c>
      <c r="R3" s="36" t="s">
        <v>22</v>
      </c>
      <c r="S3" s="36" t="s">
        <v>23</v>
      </c>
      <c r="T3" s="36" t="s">
        <v>24</v>
      </c>
      <c r="U3" s="36" t="s">
        <v>25</v>
      </c>
      <c r="V3" s="36" t="s">
        <v>26</v>
      </c>
      <c r="W3" s="36" t="s">
        <v>27</v>
      </c>
      <c r="X3" s="36" t="s">
        <v>28</v>
      </c>
      <c r="Y3" s="38"/>
      <c r="Z3" s="38"/>
      <c r="AA3" s="38"/>
      <c r="AB3" s="38"/>
      <c r="AC3" s="38"/>
      <c r="AD3" s="38"/>
      <c r="AE3" s="39"/>
    </row>
    <row r="4" spans="1:33">
      <c r="A4" s="25">
        <v>0.47361111111111109</v>
      </c>
      <c r="B4" s="25">
        <v>0.47361111111111109</v>
      </c>
      <c r="C4" s="25">
        <v>0.47499999999999998</v>
      </c>
      <c r="D4" s="26" t="s">
        <v>14</v>
      </c>
      <c r="E4" s="26" t="s">
        <v>15</v>
      </c>
      <c r="F4" s="25">
        <f t="shared" si="0"/>
        <v>1.388888888888884E-3</v>
      </c>
      <c r="G4" s="27">
        <f t="shared" si="1"/>
        <v>682</v>
      </c>
      <c r="H4" s="25">
        <f t="shared" si="2"/>
        <v>1.388888888888884E-3</v>
      </c>
      <c r="I4" s="27">
        <f>HOUR(H4)*60+MINUTE(H4)</f>
        <v>2</v>
      </c>
      <c r="J4" s="27">
        <f t="shared" ref="J4:J67" si="3">G4-G3</f>
        <v>6</v>
      </c>
      <c r="K4" s="15"/>
      <c r="L4" s="110" t="s">
        <v>29</v>
      </c>
      <c r="M4" s="111">
        <f>(P4+Q4)/2</f>
        <v>1</v>
      </c>
      <c r="N4" s="112" cm="1">
        <f t="array" ref="N4:N11">FREQUENCY( J2:J45,Q4:Q10)</f>
        <v>18</v>
      </c>
      <c r="O4" s="111">
        <f>M4*N4</f>
        <v>18</v>
      </c>
      <c r="P4" s="111">
        <v>0</v>
      </c>
      <c r="Q4" s="111">
        <v>2</v>
      </c>
      <c r="R4" s="111">
        <f>_xlfn.EXPON.DIST(P4,0.260606061,TRUE)</f>
        <v>0</v>
      </c>
      <c r="S4" s="111">
        <f>_xlfn.EXPON.DIST(Q4,0.260606061,TRUE)</f>
        <v>0.40619964689525379</v>
      </c>
      <c r="T4" s="111">
        <f>S4-R4</f>
        <v>0.40619964689525379</v>
      </c>
      <c r="U4" s="111">
        <f>T4*43</f>
        <v>17.466584816495914</v>
      </c>
      <c r="V4" s="112">
        <f>N4-U4</f>
        <v>0.53341518350408634</v>
      </c>
      <c r="W4" s="112">
        <f>V4^2</f>
        <v>0.28453175799269809</v>
      </c>
      <c r="X4" s="113">
        <f>W4/U4</f>
        <v>1.629006248113132E-2</v>
      </c>
      <c r="AE4" s="40"/>
      <c r="AF4">
        <v>1</v>
      </c>
      <c r="AG4">
        <v>17.466584816495914</v>
      </c>
    </row>
    <row r="5" spans="1:33">
      <c r="A5" s="25">
        <v>0.47638888888888886</v>
      </c>
      <c r="B5" s="25">
        <v>0.47638888888888886</v>
      </c>
      <c r="C5" s="25">
        <v>0.48402777777777778</v>
      </c>
      <c r="D5" s="26" t="s">
        <v>14</v>
      </c>
      <c r="E5" s="26" t="s">
        <v>15</v>
      </c>
      <c r="F5" s="25">
        <f t="shared" si="0"/>
        <v>7.6388888888889173E-3</v>
      </c>
      <c r="G5" s="27">
        <f t="shared" si="1"/>
        <v>686</v>
      </c>
      <c r="H5" s="25">
        <f t="shared" si="2"/>
        <v>7.6388888888889173E-3</v>
      </c>
      <c r="I5" s="27">
        <f>HOUR(H5)*60+MINUTE(H5)</f>
        <v>11</v>
      </c>
      <c r="J5" s="27">
        <f t="shared" si="3"/>
        <v>4</v>
      </c>
      <c r="K5" s="15"/>
      <c r="L5" s="83" t="s">
        <v>30</v>
      </c>
      <c r="M5" s="55">
        <f>(P5+Q5)/2</f>
        <v>3</v>
      </c>
      <c r="N5" s="57">
        <v>10</v>
      </c>
      <c r="O5" s="55">
        <f t="shared" ref="O5:O10" si="4">M5*N5</f>
        <v>30</v>
      </c>
      <c r="P5" s="55">
        <v>2</v>
      </c>
      <c r="Q5" s="55">
        <v>4</v>
      </c>
      <c r="R5" s="55">
        <f t="shared" ref="R5:R10" si="5">_xlfn.EXPON.DIST(P5,0.260606061,TRUE)</f>
        <v>0.40619964689525379</v>
      </c>
      <c r="S5" s="55">
        <f t="shared" ref="S5:S10" si="6">_xlfn.EXPON.DIST(Q5,0.260606061,TRUE)</f>
        <v>0.64740114065267873</v>
      </c>
      <c r="T5" s="55">
        <f t="shared" ref="T5:T10" si="7">S5-R5</f>
        <v>0.24120149375742495</v>
      </c>
      <c r="U5" s="55">
        <f t="shared" ref="U5:U10" si="8">T5*43</f>
        <v>10.371664231569273</v>
      </c>
      <c r="V5" s="57">
        <f t="shared" ref="V5:V10" si="9">N5-U5</f>
        <v>-0.37166423156927308</v>
      </c>
      <c r="W5" s="57">
        <f t="shared" ref="W5:W10" si="10">V5^2</f>
        <v>0.13813430102797825</v>
      </c>
      <c r="X5" s="82">
        <f t="shared" ref="X5:X10" si="11">W5/U5</f>
        <v>1.3318431636797983E-2</v>
      </c>
      <c r="AE5" s="40"/>
      <c r="AF5">
        <v>3</v>
      </c>
      <c r="AG5">
        <v>10.371664231569273</v>
      </c>
    </row>
    <row r="6" spans="1:33">
      <c r="A6" s="25">
        <v>0.47638888888888886</v>
      </c>
      <c r="B6" s="25">
        <v>0.48402777777777778</v>
      </c>
      <c r="C6" s="25">
        <v>0.48402777777777778</v>
      </c>
      <c r="D6" s="26" t="s">
        <v>14</v>
      </c>
      <c r="E6" s="26" t="s">
        <v>15</v>
      </c>
      <c r="F6" s="25">
        <f t="shared" si="0"/>
        <v>0</v>
      </c>
      <c r="G6" s="27">
        <f t="shared" si="1"/>
        <v>686</v>
      </c>
      <c r="H6" s="25">
        <f t="shared" si="2"/>
        <v>0</v>
      </c>
      <c r="I6" s="27">
        <f>HOUR(H6)*60+MINUTE(H6)</f>
        <v>0</v>
      </c>
      <c r="J6" s="27">
        <f t="shared" si="3"/>
        <v>0</v>
      </c>
      <c r="K6" s="15"/>
      <c r="L6" s="81" t="s">
        <v>31</v>
      </c>
      <c r="M6" s="55">
        <f>(P6+Q6)/2</f>
        <v>5</v>
      </c>
      <c r="N6" s="57">
        <v>5</v>
      </c>
      <c r="O6" s="55">
        <f t="shared" si="4"/>
        <v>25</v>
      </c>
      <c r="P6" s="55">
        <v>4</v>
      </c>
      <c r="Q6" s="55">
        <v>6</v>
      </c>
      <c r="R6" s="55">
        <f t="shared" si="5"/>
        <v>0.64740114065267873</v>
      </c>
      <c r="S6" s="55">
        <f t="shared" si="6"/>
        <v>0.7906266728152298</v>
      </c>
      <c r="T6" s="55">
        <f t="shared" si="7"/>
        <v>0.14322553216255107</v>
      </c>
      <c r="U6" s="55">
        <f t="shared" si="8"/>
        <v>6.1586978829896957</v>
      </c>
      <c r="V6" s="57">
        <f t="shared" si="9"/>
        <v>-1.1586978829896957</v>
      </c>
      <c r="W6" s="57">
        <f t="shared" si="10"/>
        <v>1.3425807840448025</v>
      </c>
      <c r="X6" s="82">
        <f t="shared" si="11"/>
        <v>0.21799750686797065</v>
      </c>
      <c r="AE6" s="40"/>
      <c r="AF6">
        <v>5</v>
      </c>
      <c r="AG6">
        <v>6.1586978829896957</v>
      </c>
    </row>
    <row r="7" spans="1:33">
      <c r="A7" s="25">
        <v>0.48402777777777778</v>
      </c>
      <c r="B7" s="25">
        <v>0.48402777777777778</v>
      </c>
      <c r="C7" s="25">
        <v>0.48541666666666666</v>
      </c>
      <c r="D7" s="26" t="s">
        <v>14</v>
      </c>
      <c r="E7" s="26" t="s">
        <v>15</v>
      </c>
      <c r="F7" s="25">
        <f t="shared" si="0"/>
        <v>1.388888888888884E-3</v>
      </c>
      <c r="G7" s="27">
        <f t="shared" si="1"/>
        <v>697</v>
      </c>
      <c r="H7" s="25">
        <f t="shared" si="2"/>
        <v>1.388888888888884E-3</v>
      </c>
      <c r="I7" s="27">
        <f>HOUR(H7)*60+MINUTE(H7)</f>
        <v>2</v>
      </c>
      <c r="J7" s="27">
        <f t="shared" si="3"/>
        <v>11</v>
      </c>
      <c r="K7" s="15"/>
      <c r="L7" s="81" t="s">
        <v>32</v>
      </c>
      <c r="M7" s="55">
        <f>(P7+Q7)/2</f>
        <v>7</v>
      </c>
      <c r="N7" s="57">
        <v>2</v>
      </c>
      <c r="O7" s="55">
        <f t="shared" si="4"/>
        <v>14</v>
      </c>
      <c r="P7" s="55">
        <v>6</v>
      </c>
      <c r="Q7" s="55">
        <v>8</v>
      </c>
      <c r="R7" s="55">
        <f t="shared" si="5"/>
        <v>0.7906266728152298</v>
      </c>
      <c r="S7" s="55">
        <f t="shared" si="6"/>
        <v>0.87567404438696794</v>
      </c>
      <c r="T7" s="55">
        <f t="shared" si="7"/>
        <v>8.504737157173814E-2</v>
      </c>
      <c r="U7" s="55">
        <f t="shared" si="8"/>
        <v>3.65703697758474</v>
      </c>
      <c r="V7" s="57">
        <f t="shared" si="9"/>
        <v>-1.65703697758474</v>
      </c>
      <c r="W7" s="57">
        <f t="shared" si="10"/>
        <v>2.7457715450831701</v>
      </c>
      <c r="X7" s="82">
        <f t="shared" si="11"/>
        <v>0.75081864414086197</v>
      </c>
      <c r="AE7" s="40"/>
      <c r="AF7">
        <v>7</v>
      </c>
      <c r="AG7">
        <v>3.65703697758474</v>
      </c>
    </row>
    <row r="8" spans="1:33">
      <c r="A8" s="25">
        <v>0.48402777777777778</v>
      </c>
      <c r="B8" s="25">
        <v>0.48541666666666666</v>
      </c>
      <c r="C8" s="25">
        <v>0.48541666666666666</v>
      </c>
      <c r="D8" s="26" t="s">
        <v>14</v>
      </c>
      <c r="E8" s="26" t="s">
        <v>15</v>
      </c>
      <c r="F8" s="25">
        <f t="shared" si="0"/>
        <v>0</v>
      </c>
      <c r="G8" s="27">
        <f t="shared" si="1"/>
        <v>697</v>
      </c>
      <c r="H8" s="25">
        <f t="shared" si="2"/>
        <v>0</v>
      </c>
      <c r="I8" s="27">
        <f>HOUR(H8)*60+MINUTE(H8)</f>
        <v>0</v>
      </c>
      <c r="J8" s="27">
        <f t="shared" si="3"/>
        <v>0</v>
      </c>
      <c r="K8" s="15"/>
      <c r="L8" s="83" t="s">
        <v>33</v>
      </c>
      <c r="M8" s="55">
        <f>(P8+Q8)/2</f>
        <v>9</v>
      </c>
      <c r="N8" s="57">
        <v>6</v>
      </c>
      <c r="O8" s="55">
        <f t="shared" si="4"/>
        <v>54</v>
      </c>
      <c r="P8" s="55">
        <v>8</v>
      </c>
      <c r="Q8" s="55">
        <v>10</v>
      </c>
      <c r="R8" s="55">
        <f t="shared" si="5"/>
        <v>0.87567404438696794</v>
      </c>
      <c r="S8" s="55">
        <f t="shared" si="6"/>
        <v>0.92617520365689654</v>
      </c>
      <c r="T8" s="55">
        <f t="shared" si="7"/>
        <v>5.0501159269928597E-2</v>
      </c>
      <c r="U8" s="55">
        <f t="shared" si="8"/>
        <v>2.1715498486069298</v>
      </c>
      <c r="V8" s="57">
        <f t="shared" si="9"/>
        <v>3.8284501513930702</v>
      </c>
      <c r="W8" s="57">
        <f t="shared" si="10"/>
        <v>14.657030561701623</v>
      </c>
      <c r="X8" s="82">
        <f t="shared" si="11"/>
        <v>6.7495713124450027</v>
      </c>
      <c r="AE8" s="40"/>
      <c r="AF8">
        <v>9</v>
      </c>
      <c r="AG8">
        <v>2.1715498486069298</v>
      </c>
    </row>
    <row r="9" spans="1:33">
      <c r="A9" s="25">
        <v>0.48541666666666666</v>
      </c>
      <c r="B9" s="25">
        <v>0.48541666666666666</v>
      </c>
      <c r="C9" s="25">
        <v>0.49305555555555558</v>
      </c>
      <c r="D9" s="26" t="s">
        <v>14</v>
      </c>
      <c r="E9" s="26" t="s">
        <v>15</v>
      </c>
      <c r="F9" s="25">
        <f t="shared" si="0"/>
        <v>7.6388888888889173E-3</v>
      </c>
      <c r="G9" s="27">
        <f t="shared" si="1"/>
        <v>699</v>
      </c>
      <c r="H9" s="25">
        <f t="shared" si="2"/>
        <v>7.6388888888889173E-3</v>
      </c>
      <c r="I9" s="27">
        <f>HOUR(H9)*60+MINUTE(H9)</f>
        <v>11</v>
      </c>
      <c r="J9" s="27">
        <f t="shared" si="3"/>
        <v>2</v>
      </c>
      <c r="K9" s="15"/>
      <c r="L9" s="81" t="s">
        <v>34</v>
      </c>
      <c r="M9" s="55">
        <f>(P9+Q9)/2</f>
        <v>11</v>
      </c>
      <c r="N9" s="57">
        <v>1</v>
      </c>
      <c r="O9" s="55">
        <f t="shared" si="4"/>
        <v>11</v>
      </c>
      <c r="P9" s="55">
        <v>10</v>
      </c>
      <c r="Q9" s="55">
        <v>12</v>
      </c>
      <c r="R9" s="55">
        <f t="shared" si="5"/>
        <v>0.92617520365689654</v>
      </c>
      <c r="S9" s="55">
        <f t="shared" si="6"/>
        <v>0.95616280986357916</v>
      </c>
      <c r="T9" s="55">
        <f t="shared" si="7"/>
        <v>2.9987606206682615E-2</v>
      </c>
      <c r="U9" s="55">
        <f t="shared" si="8"/>
        <v>1.2894670668873525</v>
      </c>
      <c r="V9" s="57">
        <f t="shared" si="9"/>
        <v>-0.28946706688735246</v>
      </c>
      <c r="W9" s="57">
        <f t="shared" si="10"/>
        <v>8.3791182812366985E-2</v>
      </c>
      <c r="X9" s="82">
        <f t="shared" si="11"/>
        <v>6.4981250753949629E-2</v>
      </c>
      <c r="AE9" s="40"/>
      <c r="AF9">
        <v>11</v>
      </c>
      <c r="AG9">
        <v>1.2894670668873525</v>
      </c>
    </row>
    <row r="10" spans="1:33">
      <c r="A10" s="25">
        <v>0.48680555555555555</v>
      </c>
      <c r="B10" s="25">
        <v>0.49305555555555558</v>
      </c>
      <c r="C10" s="25">
        <v>0.49861111111111112</v>
      </c>
      <c r="D10" s="26" t="s">
        <v>14</v>
      </c>
      <c r="E10" s="26" t="s">
        <v>15</v>
      </c>
      <c r="F10" s="25">
        <f t="shared" si="0"/>
        <v>5.5555555555555358E-3</v>
      </c>
      <c r="G10" s="27">
        <f t="shared" si="1"/>
        <v>701</v>
      </c>
      <c r="H10" s="25">
        <f t="shared" si="2"/>
        <v>5.5555555555555358E-3</v>
      </c>
      <c r="I10" s="27">
        <f>HOUR(H10)*60+MINUTE(H10)</f>
        <v>8</v>
      </c>
      <c r="J10" s="27">
        <f t="shared" si="3"/>
        <v>2</v>
      </c>
      <c r="K10" s="15"/>
      <c r="L10" s="114" t="s">
        <v>35</v>
      </c>
      <c r="M10" s="115">
        <f>(P10+Q10)/2</f>
        <v>13</v>
      </c>
      <c r="N10" s="116">
        <v>1</v>
      </c>
      <c r="O10" s="115">
        <f t="shared" si="4"/>
        <v>13</v>
      </c>
      <c r="P10" s="115">
        <v>12</v>
      </c>
      <c r="Q10" s="115">
        <v>14</v>
      </c>
      <c r="R10" s="115">
        <f t="shared" si="5"/>
        <v>0.95616280986357916</v>
      </c>
      <c r="S10" s="115">
        <f t="shared" si="6"/>
        <v>0.97396946101787341</v>
      </c>
      <c r="T10" s="115">
        <f t="shared" si="7"/>
        <v>1.7806651154294251E-2</v>
      </c>
      <c r="U10" s="115">
        <f t="shared" si="8"/>
        <v>0.76568599963465278</v>
      </c>
      <c r="V10" s="116">
        <f t="shared" si="9"/>
        <v>0.23431400036534722</v>
      </c>
      <c r="W10" s="116">
        <f t="shared" si="10"/>
        <v>5.4903050767211935E-2</v>
      </c>
      <c r="X10" s="117">
        <f t="shared" si="11"/>
        <v>7.1704394220880277E-2</v>
      </c>
      <c r="Y10" s="41"/>
      <c r="Z10" s="41"/>
      <c r="AA10" s="41"/>
      <c r="AB10" s="41"/>
      <c r="AC10" s="41"/>
      <c r="AD10" s="41"/>
      <c r="AE10" s="42"/>
      <c r="AF10">
        <v>13</v>
      </c>
      <c r="AG10">
        <v>0.76568599963465278</v>
      </c>
    </row>
    <row r="11" spans="1:33">
      <c r="A11" s="25">
        <v>0.49305555555555558</v>
      </c>
      <c r="B11" s="25">
        <v>0.49861111111111112</v>
      </c>
      <c r="C11" s="25">
        <v>0.49930555555555556</v>
      </c>
      <c r="D11" s="26" t="s">
        <v>14</v>
      </c>
      <c r="E11" s="26" t="s">
        <v>15</v>
      </c>
      <c r="F11" s="25">
        <f t="shared" si="0"/>
        <v>6.9444444444444198E-4</v>
      </c>
      <c r="G11" s="27">
        <f t="shared" si="1"/>
        <v>710</v>
      </c>
      <c r="H11" s="25">
        <f t="shared" si="2"/>
        <v>6.9444444444444198E-4</v>
      </c>
      <c r="I11" s="27">
        <f>HOUR(H11)*60+MINUTE(H11)</f>
        <v>1</v>
      </c>
      <c r="J11" s="27">
        <f t="shared" si="3"/>
        <v>9</v>
      </c>
      <c r="K11" s="15"/>
      <c r="L11" s="28"/>
      <c r="M11" s="28"/>
      <c r="N11" s="29">
        <v>0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33">
      <c r="A12" s="25">
        <v>0.49861111111111112</v>
      </c>
      <c r="B12" s="25">
        <v>0.49930555555555556</v>
      </c>
      <c r="C12" s="25">
        <v>0.50277777777777777</v>
      </c>
      <c r="D12" s="26" t="s">
        <v>14</v>
      </c>
      <c r="E12" s="26" t="s">
        <v>15</v>
      </c>
      <c r="F12" s="25">
        <f t="shared" si="0"/>
        <v>3.4722222222222099E-3</v>
      </c>
      <c r="G12" s="27">
        <f t="shared" si="1"/>
        <v>718</v>
      </c>
      <c r="H12" s="25">
        <f t="shared" si="2"/>
        <v>3.4722222222222099E-3</v>
      </c>
      <c r="I12" s="27">
        <f>HOUR(H12)*60+MINUTE(H12)</f>
        <v>5</v>
      </c>
      <c r="J12" s="27">
        <f t="shared" si="3"/>
        <v>8</v>
      </c>
      <c r="K12" s="15"/>
      <c r="L12" s="30" t="s">
        <v>36</v>
      </c>
      <c r="M12" s="31"/>
      <c r="N12" s="31">
        <f>SUM(N4:N10)</f>
        <v>43</v>
      </c>
      <c r="O12" s="31">
        <f>SUM(O4:O10)</f>
        <v>165</v>
      </c>
      <c r="P12" s="32"/>
      <c r="Q12" s="32"/>
      <c r="R12" s="31"/>
      <c r="S12" s="31"/>
      <c r="T12" s="31"/>
      <c r="U12" s="31"/>
      <c r="V12" s="31"/>
      <c r="W12" s="31"/>
      <c r="X12" s="31">
        <f>SUM(X4:X10)</f>
        <v>7.8846816025465944</v>
      </c>
      <c r="Y12" s="33"/>
      <c r="Z12" s="34"/>
    </row>
    <row r="13" spans="1:33">
      <c r="A13" s="25">
        <v>0.50138888888888888</v>
      </c>
      <c r="B13" s="25">
        <v>0.50277777777777777</v>
      </c>
      <c r="C13" s="25">
        <v>0.50763888888888886</v>
      </c>
      <c r="D13" s="26" t="s">
        <v>14</v>
      </c>
      <c r="E13" s="26" t="s">
        <v>15</v>
      </c>
      <c r="F13" s="25">
        <f t="shared" si="0"/>
        <v>4.8611111111110938E-3</v>
      </c>
      <c r="G13" s="27">
        <f t="shared" ref="G13:G66" si="12">HOUR(A13)*60+MINUTE(A13)</f>
        <v>722</v>
      </c>
      <c r="H13" s="25">
        <f t="shared" si="2"/>
        <v>4.8611111111110938E-3</v>
      </c>
      <c r="I13" s="27">
        <f>HOUR(H13)*60+MINUTE(H13)</f>
        <v>7</v>
      </c>
      <c r="J13" s="27">
        <f t="shared" si="3"/>
        <v>4</v>
      </c>
      <c r="K13" s="15"/>
      <c r="L13" s="15"/>
      <c r="M13" s="15"/>
      <c r="P13" s="15"/>
      <c r="Q13" s="15"/>
      <c r="R13" s="15"/>
      <c r="S13" s="15"/>
      <c r="T13" s="15"/>
      <c r="U13" s="15"/>
      <c r="V13" s="15"/>
      <c r="W13" s="15"/>
    </row>
    <row r="14" spans="1:33">
      <c r="A14" s="25">
        <v>0.50694444444444442</v>
      </c>
      <c r="B14" s="25">
        <v>0.50763888888888886</v>
      </c>
      <c r="C14" s="25">
        <v>0.50972222222222219</v>
      </c>
      <c r="D14" s="26" t="s">
        <v>14</v>
      </c>
      <c r="E14" s="26" t="s">
        <v>15</v>
      </c>
      <c r="F14" s="25">
        <f t="shared" si="0"/>
        <v>2.0833333333333259E-3</v>
      </c>
      <c r="G14" s="27">
        <f t="shared" si="12"/>
        <v>730</v>
      </c>
      <c r="H14" s="25">
        <f t="shared" si="2"/>
        <v>2.0833333333333259E-3</v>
      </c>
      <c r="I14" s="27">
        <f>HOUR(H14)*60+MINUTE(H14)</f>
        <v>3</v>
      </c>
      <c r="J14" s="27">
        <f t="shared" si="3"/>
        <v>8</v>
      </c>
      <c r="K14" s="15"/>
      <c r="L14" s="43" t="s">
        <v>37</v>
      </c>
      <c r="M14" s="44">
        <f>O12/N12</f>
        <v>3.8372093023255816</v>
      </c>
      <c r="P14" s="15"/>
      <c r="Q14" s="15"/>
      <c r="R14" s="15"/>
      <c r="S14" s="15"/>
      <c r="T14" s="15"/>
      <c r="U14" s="15"/>
      <c r="V14" s="15"/>
      <c r="W14" s="15"/>
      <c r="X14" s="15"/>
    </row>
    <row r="15" spans="1:33">
      <c r="A15" s="25">
        <v>0.50763888888888886</v>
      </c>
      <c r="B15" s="25">
        <v>0.50972222222222219</v>
      </c>
      <c r="C15" s="25">
        <v>0.51180555555555551</v>
      </c>
      <c r="D15" s="26" t="s">
        <v>14</v>
      </c>
      <c r="E15" s="26" t="s">
        <v>15</v>
      </c>
      <c r="F15" s="25">
        <f t="shared" si="0"/>
        <v>2.0833333333333259E-3</v>
      </c>
      <c r="G15" s="27">
        <f t="shared" si="12"/>
        <v>731</v>
      </c>
      <c r="H15" s="25">
        <f t="shared" si="2"/>
        <v>2.0833333333333259E-3</v>
      </c>
      <c r="I15" s="27">
        <f>HOUR(H15)*60+MINUTE(H15)</f>
        <v>3</v>
      </c>
      <c r="J15" s="27">
        <f t="shared" si="3"/>
        <v>1</v>
      </c>
      <c r="K15" s="15"/>
      <c r="L15" s="45" t="s">
        <v>38</v>
      </c>
      <c r="M15" s="46">
        <f>1/M14</f>
        <v>0.26060606060606062</v>
      </c>
      <c r="O15" s="206" t="s">
        <v>39</v>
      </c>
      <c r="P15" s="206"/>
      <c r="Q15" s="206"/>
      <c r="R15" s="206"/>
      <c r="S15" s="206"/>
      <c r="T15" s="206"/>
      <c r="U15" s="206"/>
      <c r="V15" s="206"/>
      <c r="W15" s="15"/>
      <c r="X15" s="15"/>
    </row>
    <row r="16" spans="1:33">
      <c r="A16" s="25">
        <v>0.50972222222222219</v>
      </c>
      <c r="B16" s="25">
        <v>0.51180555555555551</v>
      </c>
      <c r="C16" s="25">
        <v>0.51249999999999996</v>
      </c>
      <c r="D16" s="26" t="s">
        <v>14</v>
      </c>
      <c r="E16" s="26" t="s">
        <v>15</v>
      </c>
      <c r="F16" s="25">
        <f t="shared" si="0"/>
        <v>6.9444444444444198E-4</v>
      </c>
      <c r="G16" s="27">
        <f t="shared" si="12"/>
        <v>734</v>
      </c>
      <c r="H16" s="25">
        <f t="shared" si="2"/>
        <v>6.9444444444444198E-4</v>
      </c>
      <c r="I16" s="27">
        <f>HOUR(H16)*60+MINUTE(H16)</f>
        <v>1</v>
      </c>
      <c r="J16" s="27">
        <f t="shared" si="3"/>
        <v>3</v>
      </c>
      <c r="K16" s="15"/>
      <c r="L16" s="45" t="s">
        <v>40</v>
      </c>
      <c r="M16" s="46">
        <f>7-1-1</f>
        <v>5</v>
      </c>
      <c r="P16" s="15"/>
      <c r="Q16" s="15"/>
      <c r="R16" s="15"/>
      <c r="S16" s="15"/>
      <c r="T16" s="15"/>
      <c r="U16" s="15"/>
      <c r="V16" s="15"/>
      <c r="W16" s="15"/>
      <c r="X16" s="15"/>
    </row>
    <row r="17" spans="1:24">
      <c r="A17" s="25">
        <v>0.51180555555555551</v>
      </c>
      <c r="B17" s="25">
        <v>0.51249999999999996</v>
      </c>
      <c r="C17" s="25">
        <v>0.51249999999999996</v>
      </c>
      <c r="D17" s="26" t="s">
        <v>14</v>
      </c>
      <c r="E17" s="26" t="s">
        <v>15</v>
      </c>
      <c r="F17" s="25">
        <f t="shared" si="0"/>
        <v>0</v>
      </c>
      <c r="G17" s="27">
        <f t="shared" si="12"/>
        <v>737</v>
      </c>
      <c r="H17" s="25">
        <f t="shared" si="2"/>
        <v>0</v>
      </c>
      <c r="I17" s="27">
        <f>HOUR(H17)*60+MINUTE(H17)</f>
        <v>0</v>
      </c>
      <c r="J17" s="27">
        <f t="shared" si="3"/>
        <v>3</v>
      </c>
      <c r="K17" s="15"/>
      <c r="L17" s="47" t="s">
        <v>41</v>
      </c>
      <c r="M17" s="48">
        <v>11.07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 ht="15.75">
      <c r="A18" s="25">
        <v>0.51249999999999996</v>
      </c>
      <c r="B18" s="25">
        <v>0.51249999999999996</v>
      </c>
      <c r="C18" s="25">
        <v>0.51875000000000004</v>
      </c>
      <c r="D18" s="26" t="s">
        <v>14</v>
      </c>
      <c r="E18" s="26" t="s">
        <v>15</v>
      </c>
      <c r="F18" s="25">
        <f t="shared" si="0"/>
        <v>6.2500000000000888E-3</v>
      </c>
      <c r="G18" s="27">
        <f t="shared" si="12"/>
        <v>738</v>
      </c>
      <c r="H18" s="25">
        <f t="shared" si="2"/>
        <v>6.2500000000000888E-3</v>
      </c>
      <c r="I18" s="27">
        <f>HOUR(H18)*60+MINUTE(H18)</f>
        <v>9</v>
      </c>
      <c r="J18" s="27">
        <f t="shared" si="3"/>
        <v>1</v>
      </c>
      <c r="K18" s="15"/>
      <c r="L18" s="15"/>
      <c r="M18" s="15"/>
      <c r="N18" s="15"/>
      <c r="O18" s="17"/>
      <c r="P18" s="53" t="s">
        <v>42</v>
      </c>
      <c r="Q18" s="15"/>
      <c r="R18" s="15"/>
      <c r="S18" s="15"/>
      <c r="T18" s="15"/>
      <c r="U18" s="15"/>
      <c r="V18" s="15"/>
      <c r="W18" s="15"/>
      <c r="X18" s="15"/>
    </row>
    <row r="19" spans="1:24">
      <c r="A19" s="25">
        <v>0.51249999999999996</v>
      </c>
      <c r="B19" s="25">
        <v>0.51875000000000004</v>
      </c>
      <c r="C19" s="25">
        <v>0.52569444444444446</v>
      </c>
      <c r="D19" s="26" t="s">
        <v>14</v>
      </c>
      <c r="E19" s="26" t="s">
        <v>15</v>
      </c>
      <c r="F19" s="25">
        <f t="shared" si="0"/>
        <v>6.9444444444444198E-3</v>
      </c>
      <c r="G19" s="27">
        <f t="shared" si="12"/>
        <v>738</v>
      </c>
      <c r="H19" s="25">
        <f t="shared" si="2"/>
        <v>6.9444444444444198E-3</v>
      </c>
      <c r="I19" s="27">
        <f>HOUR(H19)*60+MINUTE(H19)</f>
        <v>10</v>
      </c>
      <c r="J19" s="27">
        <f t="shared" si="3"/>
        <v>0</v>
      </c>
      <c r="K19" s="15"/>
      <c r="L19" s="15"/>
      <c r="M19" s="15"/>
      <c r="N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>
      <c r="A20" s="25">
        <v>0.51875000000000004</v>
      </c>
      <c r="B20" s="25">
        <v>0.52569444444444446</v>
      </c>
      <c r="C20" s="25">
        <v>0.52847222222222223</v>
      </c>
      <c r="D20" s="26" t="s">
        <v>14</v>
      </c>
      <c r="E20" s="26" t="s">
        <v>15</v>
      </c>
      <c r="F20" s="25">
        <f t="shared" si="0"/>
        <v>2.7777777777777679E-3</v>
      </c>
      <c r="G20" s="27">
        <f t="shared" si="12"/>
        <v>747</v>
      </c>
      <c r="H20" s="25">
        <f t="shared" si="2"/>
        <v>2.7777777777777679E-3</v>
      </c>
      <c r="I20" s="27">
        <f>HOUR(H20)*60+MINUTE(H20)</f>
        <v>4</v>
      </c>
      <c r="J20" s="27">
        <f t="shared" si="3"/>
        <v>9</v>
      </c>
      <c r="K20" s="15"/>
      <c r="L20" s="12" t="s">
        <v>16</v>
      </c>
      <c r="M20" s="12"/>
      <c r="N20" s="14" t="s">
        <v>18</v>
      </c>
      <c r="O20" s="12"/>
      <c r="P20" s="12" t="s">
        <v>20</v>
      </c>
      <c r="Q20" s="12" t="s">
        <v>21</v>
      </c>
      <c r="R20" s="12" t="s">
        <v>22</v>
      </c>
      <c r="S20" s="12" t="s">
        <v>23</v>
      </c>
      <c r="T20" s="12" t="s">
        <v>24</v>
      </c>
      <c r="U20" s="12" t="s">
        <v>25</v>
      </c>
      <c r="V20" s="12" t="s">
        <v>26</v>
      </c>
      <c r="W20" s="12" t="s">
        <v>27</v>
      </c>
      <c r="X20" s="12" t="s">
        <v>28</v>
      </c>
    </row>
    <row r="21" spans="1:24">
      <c r="A21" s="25">
        <v>0.52569444444444446</v>
      </c>
      <c r="B21" s="25">
        <v>0.52847222222222223</v>
      </c>
      <c r="C21" s="25">
        <v>0.52916666666666667</v>
      </c>
      <c r="D21" s="26" t="s">
        <v>14</v>
      </c>
      <c r="E21" s="26" t="s">
        <v>15</v>
      </c>
      <c r="F21" s="25">
        <f t="shared" si="0"/>
        <v>6.9444444444444198E-4</v>
      </c>
      <c r="G21" s="27">
        <f t="shared" si="12"/>
        <v>757</v>
      </c>
      <c r="H21" s="25">
        <f t="shared" si="2"/>
        <v>6.9444444444444198E-4</v>
      </c>
      <c r="I21" s="27">
        <f>HOUR(H21)*60+MINUTE(H21)</f>
        <v>1</v>
      </c>
      <c r="J21" s="27">
        <f t="shared" si="3"/>
        <v>10</v>
      </c>
      <c r="K21" s="15"/>
      <c r="L21" s="55" t="s">
        <v>29</v>
      </c>
      <c r="M21" s="55"/>
      <c r="N21" s="57" cm="1">
        <f t="array" ref="N21:N27">FREQUENCY(I2:I45,Q21:Q26)</f>
        <v>19</v>
      </c>
      <c r="O21" s="55"/>
      <c r="P21" s="55">
        <v>0</v>
      </c>
      <c r="Q21" s="55">
        <v>2</v>
      </c>
      <c r="R21" s="55">
        <f>_xlfn.EXPON.DIST(P21,0.261904762,TRUE)</f>
        <v>0</v>
      </c>
      <c r="S21" s="55">
        <f>_xlfn.EXPON.DIST(Q21,0.261904762,TRUE)</f>
        <v>0.40773998381691856</v>
      </c>
      <c r="T21" s="55">
        <f>S21-R21</f>
        <v>0.40773998381691856</v>
      </c>
      <c r="U21" s="55">
        <f>T21*44</f>
        <v>17.940559287944417</v>
      </c>
      <c r="V21" s="57">
        <f>N21-U21</f>
        <v>1.0594407120555829</v>
      </c>
      <c r="W21" s="57">
        <f>V21^2</f>
        <v>1.1224146223608404</v>
      </c>
      <c r="X21" s="55">
        <f>W21/U21</f>
        <v>6.2562967204432329E-2</v>
      </c>
    </row>
    <row r="22" spans="1:24">
      <c r="A22" s="25">
        <v>0.52847222222222223</v>
      </c>
      <c r="B22" s="25">
        <v>0.52916666666666667</v>
      </c>
      <c r="C22" s="25">
        <v>0.53055555555555556</v>
      </c>
      <c r="D22" s="26" t="s">
        <v>14</v>
      </c>
      <c r="E22" s="26" t="s">
        <v>15</v>
      </c>
      <c r="F22" s="25">
        <f t="shared" si="0"/>
        <v>1.388888888888884E-3</v>
      </c>
      <c r="G22" s="27">
        <f t="shared" si="12"/>
        <v>761</v>
      </c>
      <c r="H22" s="25">
        <f t="shared" si="2"/>
        <v>1.388888888888884E-3</v>
      </c>
      <c r="I22" s="27">
        <f>HOUR(H22)*60+MINUTE(H22)</f>
        <v>2</v>
      </c>
      <c r="J22" s="27">
        <f t="shared" si="3"/>
        <v>4</v>
      </c>
      <c r="K22" s="15"/>
      <c r="L22" s="58" t="s">
        <v>30</v>
      </c>
      <c r="M22" s="55"/>
      <c r="N22" s="57">
        <v>10</v>
      </c>
      <c r="O22" s="55"/>
      <c r="P22" s="55">
        <v>2</v>
      </c>
      <c r="Q22" s="55">
        <v>4</v>
      </c>
      <c r="R22" s="55">
        <f t="shared" ref="R22:R26" si="13">_xlfn.EXPON.DIST(P22,0.261904762,TRUE)</f>
        <v>0.40773998381691856</v>
      </c>
      <c r="S22" s="55">
        <f t="shared" ref="S22:S26" si="14">_xlfn.EXPON.DIST(Q22,0.261904762,TRUE)</f>
        <v>0.64922807323081599</v>
      </c>
      <c r="T22" s="55">
        <f t="shared" ref="T22:T26" si="15">S22-R22</f>
        <v>0.24148808941389743</v>
      </c>
      <c r="U22" s="55">
        <f>T22*44</f>
        <v>10.625475934211487</v>
      </c>
      <c r="V22" s="57">
        <f t="shared" ref="V22:V26" si="16">N22-U22</f>
        <v>-0.62547593421148662</v>
      </c>
      <c r="W22" s="57">
        <f t="shared" ref="W22:W26" si="17">V22^2</f>
        <v>0.39122014427773194</v>
      </c>
      <c r="X22" s="55">
        <f t="shared" ref="X22:X26" si="18">W22/U22</f>
        <v>3.6819070195067388E-2</v>
      </c>
    </row>
    <row r="23" spans="1:24">
      <c r="A23" s="25">
        <v>0.52916666666666667</v>
      </c>
      <c r="B23" s="25">
        <v>0.53055555555555556</v>
      </c>
      <c r="C23" s="25">
        <v>0.53402777777777777</v>
      </c>
      <c r="D23" s="26" t="s">
        <v>14</v>
      </c>
      <c r="E23" s="26" t="s">
        <v>15</v>
      </c>
      <c r="F23" s="25">
        <f t="shared" si="0"/>
        <v>3.4722222222222099E-3</v>
      </c>
      <c r="G23" s="27">
        <f t="shared" si="12"/>
        <v>762</v>
      </c>
      <c r="H23" s="25">
        <f t="shared" si="2"/>
        <v>3.4722222222222099E-3</v>
      </c>
      <c r="I23" s="27">
        <f>HOUR(H23)*60+MINUTE(H23)</f>
        <v>5</v>
      </c>
      <c r="J23" s="27">
        <f t="shared" si="3"/>
        <v>1</v>
      </c>
      <c r="K23" s="15"/>
      <c r="L23" s="55" t="s">
        <v>31</v>
      </c>
      <c r="M23" s="55"/>
      <c r="N23" s="57">
        <v>6</v>
      </c>
      <c r="O23" s="55"/>
      <c r="P23" s="55">
        <v>4</v>
      </c>
      <c r="Q23" s="55">
        <v>6</v>
      </c>
      <c r="R23" s="55">
        <f t="shared" si="13"/>
        <v>0.64922807323081599</v>
      </c>
      <c r="S23" s="55">
        <f t="shared" si="14"/>
        <v>0.79225181297511238</v>
      </c>
      <c r="T23" s="55">
        <f t="shared" si="15"/>
        <v>0.14302373974429639</v>
      </c>
      <c r="U23" s="55">
        <f t="shared" ref="U23:U26" si="19">T23*44</f>
        <v>6.293044548749041</v>
      </c>
      <c r="V23" s="57">
        <f t="shared" si="16"/>
        <v>-0.29304454874904096</v>
      </c>
      <c r="W23" s="57">
        <f t="shared" si="17"/>
        <v>8.5875107551529037E-2</v>
      </c>
      <c r="X23" s="55">
        <f t="shared" si="18"/>
        <v>1.3646035219725192E-2</v>
      </c>
    </row>
    <row r="24" spans="1:24">
      <c r="A24" s="25">
        <v>0.53055555555555556</v>
      </c>
      <c r="B24" s="25">
        <v>0.53402777777777777</v>
      </c>
      <c r="C24" s="25">
        <v>0.54027777777777775</v>
      </c>
      <c r="D24" s="26" t="s">
        <v>14</v>
      </c>
      <c r="E24" s="26" t="s">
        <v>15</v>
      </c>
      <c r="F24" s="25">
        <f t="shared" si="0"/>
        <v>6.2499999999999778E-3</v>
      </c>
      <c r="G24" s="27">
        <f t="shared" si="12"/>
        <v>764</v>
      </c>
      <c r="H24" s="25">
        <f t="shared" si="2"/>
        <v>6.2499999999999778E-3</v>
      </c>
      <c r="I24" s="27">
        <f>HOUR(H24)*60+MINUTE(H24)</f>
        <v>9</v>
      </c>
      <c r="J24" s="27">
        <f t="shared" si="3"/>
        <v>2</v>
      </c>
      <c r="K24" s="15"/>
      <c r="L24" s="55" t="s">
        <v>32</v>
      </c>
      <c r="M24" s="55"/>
      <c r="N24" s="57">
        <v>2</v>
      </c>
      <c r="O24" s="55"/>
      <c r="P24" s="55">
        <v>6</v>
      </c>
      <c r="Q24" s="55">
        <v>8</v>
      </c>
      <c r="R24" s="55">
        <f t="shared" si="13"/>
        <v>0.79225181297511238</v>
      </c>
      <c r="S24" s="55">
        <f t="shared" si="14"/>
        <v>0.87695905539063423</v>
      </c>
      <c r="T24" s="55">
        <f t="shared" si="15"/>
        <v>8.4707242415521855E-2</v>
      </c>
      <c r="U24" s="55">
        <f t="shared" si="19"/>
        <v>3.7271186662829616</v>
      </c>
      <c r="V24" s="57">
        <f t="shared" si="16"/>
        <v>-1.7271186662829616</v>
      </c>
      <c r="W24" s="57">
        <f t="shared" si="17"/>
        <v>2.9829388874230363</v>
      </c>
      <c r="X24" s="55">
        <f t="shared" si="18"/>
        <v>0.80033375765787129</v>
      </c>
    </row>
    <row r="25" spans="1:24">
      <c r="A25" s="25">
        <v>0.53402777777777777</v>
      </c>
      <c r="B25" s="25">
        <v>0.54027777777777775</v>
      </c>
      <c r="C25" s="25">
        <v>0.54652777777777772</v>
      </c>
      <c r="D25" s="26" t="s">
        <v>14</v>
      </c>
      <c r="E25" s="26" t="s">
        <v>15</v>
      </c>
      <c r="F25" s="25">
        <f t="shared" si="0"/>
        <v>6.2499999999999778E-3</v>
      </c>
      <c r="G25" s="27">
        <f t="shared" si="12"/>
        <v>769</v>
      </c>
      <c r="H25" s="25">
        <f t="shared" si="2"/>
        <v>6.2499999999999778E-3</v>
      </c>
      <c r="I25" s="27">
        <f>HOUR(H25)*60+MINUTE(H25)</f>
        <v>9</v>
      </c>
      <c r="J25" s="27">
        <f t="shared" si="3"/>
        <v>5</v>
      </c>
      <c r="K25" s="15"/>
      <c r="L25" s="58" t="s">
        <v>33</v>
      </c>
      <c r="M25" s="55"/>
      <c r="N25" s="57">
        <v>5</v>
      </c>
      <c r="O25" s="55"/>
      <c r="P25" s="55">
        <v>8</v>
      </c>
      <c r="Q25" s="55">
        <v>10</v>
      </c>
      <c r="R25" s="55">
        <f t="shared" si="13"/>
        <v>0.87695905539063423</v>
      </c>
      <c r="S25" s="55">
        <f t="shared" si="14"/>
        <v>0.9271277681544754</v>
      </c>
      <c r="T25" s="55">
        <f>S25-R25</f>
        <v>5.0168712763841161E-2</v>
      </c>
      <c r="U25" s="55">
        <f>T25*44</f>
        <v>2.2074233616090111</v>
      </c>
      <c r="V25" s="57">
        <f t="shared" si="16"/>
        <v>2.7925766383909889</v>
      </c>
      <c r="W25" s="57">
        <f t="shared" si="17"/>
        <v>7.7984842812871165</v>
      </c>
      <c r="X25" s="55">
        <f t="shared" si="18"/>
        <v>3.5328448619854824</v>
      </c>
    </row>
    <row r="26" spans="1:24">
      <c r="A26" s="25">
        <v>0.54027777777777775</v>
      </c>
      <c r="B26" s="25">
        <v>0.54652777777777772</v>
      </c>
      <c r="C26" s="25">
        <v>0.55069444444444449</v>
      </c>
      <c r="D26" s="26" t="s">
        <v>14</v>
      </c>
      <c r="E26" s="26" t="s">
        <v>15</v>
      </c>
      <c r="F26" s="25">
        <f t="shared" si="0"/>
        <v>4.1666666666667629E-3</v>
      </c>
      <c r="G26" s="27">
        <f t="shared" si="12"/>
        <v>778</v>
      </c>
      <c r="H26" s="25">
        <f t="shared" si="2"/>
        <v>4.1666666666667629E-3</v>
      </c>
      <c r="I26" s="27">
        <f>HOUR(H26)*60+MINUTE(H26)</f>
        <v>6</v>
      </c>
      <c r="J26" s="27">
        <f t="shared" si="3"/>
        <v>9</v>
      </c>
      <c r="K26" s="15"/>
      <c r="L26" s="55" t="s">
        <v>34</v>
      </c>
      <c r="M26" s="55"/>
      <c r="N26" s="57">
        <v>2</v>
      </c>
      <c r="O26" s="55"/>
      <c r="P26" s="55">
        <v>10</v>
      </c>
      <c r="Q26" s="55">
        <v>12</v>
      </c>
      <c r="R26" s="55">
        <f t="shared" si="13"/>
        <v>0.9271277681544754</v>
      </c>
      <c r="S26" s="55">
        <f t="shared" si="14"/>
        <v>0.95684069078787237</v>
      </c>
      <c r="T26" s="55">
        <f t="shared" si="15"/>
        <v>2.9712922633396976E-2</v>
      </c>
      <c r="U26" s="55">
        <f t="shared" si="19"/>
        <v>1.307368595869467</v>
      </c>
      <c r="V26" s="57">
        <f t="shared" si="16"/>
        <v>0.69263140413053303</v>
      </c>
      <c r="W26" s="57">
        <f t="shared" si="17"/>
        <v>0.47973826198783376</v>
      </c>
      <c r="X26" s="55">
        <f t="shared" si="18"/>
        <v>0.36694950720365382</v>
      </c>
    </row>
    <row r="27" spans="1:24">
      <c r="A27" s="25">
        <v>0.54652777777777772</v>
      </c>
      <c r="B27" s="25">
        <v>0.55069444444444449</v>
      </c>
      <c r="C27" s="25">
        <v>0.55347222222222225</v>
      </c>
      <c r="D27" s="26" t="s">
        <v>14</v>
      </c>
      <c r="E27" s="26" t="s">
        <v>15</v>
      </c>
      <c r="F27" s="25">
        <f t="shared" si="0"/>
        <v>2.7777777777777679E-3</v>
      </c>
      <c r="G27" s="27">
        <f t="shared" si="12"/>
        <v>787</v>
      </c>
      <c r="H27" s="25">
        <f t="shared" si="2"/>
        <v>2.7777777777777679E-3</v>
      </c>
      <c r="I27" s="27">
        <f>HOUR(H27)*60+MINUTE(H27)</f>
        <v>4</v>
      </c>
      <c r="J27" s="27">
        <f t="shared" si="3"/>
        <v>9</v>
      </c>
      <c r="K27" s="15"/>
      <c r="L27" s="55"/>
      <c r="M27" s="55"/>
      <c r="N27" s="57">
        <v>0</v>
      </c>
      <c r="O27" s="55"/>
      <c r="P27" s="55"/>
      <c r="Q27" s="55"/>
      <c r="R27" s="55"/>
      <c r="S27" s="55"/>
      <c r="T27" s="55"/>
      <c r="U27" s="55"/>
      <c r="V27" s="57"/>
      <c r="W27" s="57"/>
      <c r="X27" s="55"/>
    </row>
    <row r="28" spans="1:24">
      <c r="A28" s="25">
        <v>0.55069444444444449</v>
      </c>
      <c r="B28" s="25">
        <v>0.55347222222222225</v>
      </c>
      <c r="C28" s="25">
        <v>0.5541666666666667</v>
      </c>
      <c r="D28" s="26" t="s">
        <v>14</v>
      </c>
      <c r="E28" s="26" t="s">
        <v>15</v>
      </c>
      <c r="F28" s="25">
        <f t="shared" si="0"/>
        <v>6.9444444444444198E-4</v>
      </c>
      <c r="G28" s="27">
        <f t="shared" si="12"/>
        <v>793</v>
      </c>
      <c r="H28" s="25">
        <f t="shared" si="2"/>
        <v>6.9444444444444198E-4</v>
      </c>
      <c r="I28" s="27">
        <f>HOUR(H28)*60+MINUTE(H28)</f>
        <v>1</v>
      </c>
      <c r="J28" s="27">
        <f t="shared" si="3"/>
        <v>6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4">
      <c r="A29" s="25">
        <v>0.55347222222222225</v>
      </c>
      <c r="B29" s="25">
        <v>0.5541666666666667</v>
      </c>
      <c r="C29" s="25">
        <v>0.5541666666666667</v>
      </c>
      <c r="D29" s="26" t="s">
        <v>14</v>
      </c>
      <c r="E29" s="26" t="s">
        <v>15</v>
      </c>
      <c r="F29" s="25">
        <f t="shared" si="0"/>
        <v>0</v>
      </c>
      <c r="G29" s="27">
        <f t="shared" si="12"/>
        <v>797</v>
      </c>
      <c r="H29" s="25">
        <f t="shared" si="2"/>
        <v>0</v>
      </c>
      <c r="I29" s="27">
        <f>HOUR(H29)*60+MINUTE(H29)</f>
        <v>0</v>
      </c>
      <c r="J29" s="27">
        <f t="shared" si="3"/>
        <v>4</v>
      </c>
      <c r="K29" s="15"/>
      <c r="L29" s="106" t="s">
        <v>36</v>
      </c>
      <c r="M29" s="107"/>
      <c r="N29" s="108">
        <f>SUM(N21:N26)</f>
        <v>44</v>
      </c>
      <c r="O29" s="107"/>
      <c r="P29" s="107"/>
      <c r="Q29" s="107"/>
      <c r="R29" s="107"/>
      <c r="S29" s="107"/>
      <c r="T29" s="107"/>
      <c r="U29" s="107"/>
      <c r="V29" s="107"/>
      <c r="W29" s="107"/>
      <c r="X29" s="109">
        <f>SUM(X21:X26)</f>
        <v>4.8131561994662331</v>
      </c>
    </row>
    <row r="30" spans="1:24">
      <c r="A30" s="25">
        <v>0.5541666666666667</v>
      </c>
      <c r="B30" s="25">
        <v>0.5541666666666667</v>
      </c>
      <c r="C30" s="25">
        <v>0.56041666666666667</v>
      </c>
      <c r="D30" s="26" t="s">
        <v>14</v>
      </c>
      <c r="E30" s="26" t="s">
        <v>15</v>
      </c>
      <c r="F30" s="25">
        <f t="shared" si="0"/>
        <v>6.2499999999999778E-3</v>
      </c>
      <c r="G30" s="27">
        <f t="shared" si="12"/>
        <v>798</v>
      </c>
      <c r="H30" s="25">
        <f t="shared" si="2"/>
        <v>6.2499999999999778E-3</v>
      </c>
      <c r="I30" s="27">
        <f>HOUR(H30)*60+MINUTE(H30)</f>
        <v>9</v>
      </c>
      <c r="J30" s="27">
        <f t="shared" si="3"/>
        <v>1</v>
      </c>
      <c r="K30" s="15"/>
      <c r="L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>
      <c r="A31" s="25">
        <v>0.5541666666666667</v>
      </c>
      <c r="B31" s="25">
        <v>0.56041666666666667</v>
      </c>
      <c r="C31" s="25">
        <v>0.56319444444444444</v>
      </c>
      <c r="D31" s="26" t="s">
        <v>14</v>
      </c>
      <c r="E31" s="26" t="s">
        <v>15</v>
      </c>
      <c r="F31" s="25">
        <f t="shared" si="0"/>
        <v>2.7777777777777679E-3</v>
      </c>
      <c r="G31" s="27">
        <f t="shared" si="12"/>
        <v>798</v>
      </c>
      <c r="H31" s="25">
        <f t="shared" si="2"/>
        <v>2.7777777777777679E-3</v>
      </c>
      <c r="I31" s="27">
        <f>HOUR(H31)*60+MINUTE(H31)</f>
        <v>4</v>
      </c>
      <c r="J31" s="27">
        <f t="shared" si="3"/>
        <v>0</v>
      </c>
      <c r="K31" s="15"/>
      <c r="L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>
      <c r="A32" s="25">
        <v>0.56041666666666667</v>
      </c>
      <c r="B32" s="25">
        <v>0.56319444444444444</v>
      </c>
      <c r="C32" s="25">
        <v>0.56319444444444444</v>
      </c>
      <c r="D32" s="26" t="s">
        <v>14</v>
      </c>
      <c r="E32" s="26" t="s">
        <v>15</v>
      </c>
      <c r="F32" s="25">
        <f t="shared" si="0"/>
        <v>0</v>
      </c>
      <c r="G32" s="27">
        <f t="shared" si="12"/>
        <v>807</v>
      </c>
      <c r="H32" s="25">
        <f t="shared" si="2"/>
        <v>0</v>
      </c>
      <c r="I32" s="27">
        <f>HOUR(H32)*60+MINUTE(H32)</f>
        <v>0</v>
      </c>
      <c r="J32" s="27">
        <f t="shared" si="3"/>
        <v>9</v>
      </c>
      <c r="K32" s="15"/>
      <c r="L32" s="51"/>
      <c r="M32" s="51"/>
      <c r="O32" s="206" t="s">
        <v>43</v>
      </c>
      <c r="P32" s="206"/>
      <c r="Q32" s="206"/>
      <c r="R32" s="206"/>
      <c r="S32" s="206"/>
      <c r="T32" s="206"/>
      <c r="U32" s="206"/>
      <c r="V32" s="206"/>
      <c r="W32" s="15"/>
      <c r="X32" s="15"/>
    </row>
    <row r="33" spans="1:26">
      <c r="A33" s="25">
        <v>0.56319444444444444</v>
      </c>
      <c r="B33" s="25">
        <v>0.56319444444444444</v>
      </c>
      <c r="C33" s="25">
        <v>0.56388888888888888</v>
      </c>
      <c r="D33" s="26" t="s">
        <v>14</v>
      </c>
      <c r="E33" s="26" t="s">
        <v>15</v>
      </c>
      <c r="F33" s="25">
        <f t="shared" si="0"/>
        <v>6.9444444444444198E-4</v>
      </c>
      <c r="G33" s="27">
        <f t="shared" si="12"/>
        <v>811</v>
      </c>
      <c r="H33" s="25">
        <f t="shared" si="2"/>
        <v>6.9444444444444198E-4</v>
      </c>
      <c r="I33" s="27">
        <f>HOUR(H33)*60+MINUTE(H33)</f>
        <v>1</v>
      </c>
      <c r="J33" s="27">
        <f t="shared" si="3"/>
        <v>4</v>
      </c>
      <c r="K33" s="15"/>
      <c r="L33" s="51"/>
      <c r="M33" s="51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6">
      <c r="A34" s="25">
        <v>0.56319444444444444</v>
      </c>
      <c r="B34" s="25">
        <v>0.56388888888888888</v>
      </c>
      <c r="C34" s="25">
        <v>0.56666666666666665</v>
      </c>
      <c r="D34" s="26" t="s">
        <v>14</v>
      </c>
      <c r="E34" s="26" t="s">
        <v>15</v>
      </c>
      <c r="F34" s="25">
        <f t="shared" si="0"/>
        <v>2.7777777777777679E-3</v>
      </c>
      <c r="G34" s="27">
        <f t="shared" si="12"/>
        <v>811</v>
      </c>
      <c r="H34" s="25">
        <f t="shared" si="2"/>
        <v>2.7777777777777679E-3</v>
      </c>
      <c r="I34" s="27">
        <f>HOUR(H34)*60+MINUTE(H34)</f>
        <v>4</v>
      </c>
      <c r="J34" s="27">
        <f t="shared" si="3"/>
        <v>0</v>
      </c>
      <c r="K34" s="15"/>
      <c r="L34" s="51" t="s">
        <v>40</v>
      </c>
      <c r="M34" s="52">
        <v>4</v>
      </c>
      <c r="N34" s="15"/>
      <c r="O34" s="15" t="s">
        <v>37</v>
      </c>
      <c r="P34" s="1">
        <f>AVERAGE(I2:I45)</f>
        <v>3.8181818181818183</v>
      </c>
      <c r="Q34" s="15"/>
      <c r="R34" s="15"/>
      <c r="S34" s="15"/>
      <c r="T34" s="15"/>
      <c r="U34" s="15"/>
      <c r="V34" s="15"/>
      <c r="W34" s="15"/>
      <c r="X34" s="15"/>
    </row>
    <row r="35" spans="1:26">
      <c r="A35" s="25">
        <v>0.56388888888888888</v>
      </c>
      <c r="B35" s="25">
        <v>0.56666666666666665</v>
      </c>
      <c r="C35" s="25">
        <v>0.56666666666666665</v>
      </c>
      <c r="D35" s="26" t="s">
        <v>14</v>
      </c>
      <c r="E35" s="26" t="s">
        <v>15</v>
      </c>
      <c r="F35" s="25">
        <f t="shared" si="0"/>
        <v>0</v>
      </c>
      <c r="G35" s="27">
        <f t="shared" si="12"/>
        <v>812</v>
      </c>
      <c r="H35" s="25">
        <f t="shared" si="2"/>
        <v>0</v>
      </c>
      <c r="I35" s="27">
        <f>HOUR(H35)*60+MINUTE(H35)</f>
        <v>0</v>
      </c>
      <c r="J35" s="27">
        <f t="shared" si="3"/>
        <v>1</v>
      </c>
      <c r="K35" s="15"/>
      <c r="L35" s="51" t="s">
        <v>44</v>
      </c>
      <c r="M35" s="51">
        <v>9.48</v>
      </c>
      <c r="N35" s="15"/>
      <c r="O35" s="15" t="s">
        <v>38</v>
      </c>
      <c r="P35" s="15">
        <f>1/P34</f>
        <v>0.26190476190476192</v>
      </c>
      <c r="Q35" s="15">
        <v>0.26190476190476197</v>
      </c>
      <c r="R35" s="15"/>
      <c r="S35" s="15"/>
      <c r="T35" s="15"/>
      <c r="U35" s="15"/>
      <c r="V35" s="15"/>
      <c r="W35" s="15"/>
      <c r="X35" s="15"/>
    </row>
    <row r="36" spans="1:26">
      <c r="A36" s="25">
        <v>0.56666666666666665</v>
      </c>
      <c r="B36" s="25">
        <v>0.56666666666666665</v>
      </c>
      <c r="C36" s="25">
        <v>0.56736111111111109</v>
      </c>
      <c r="D36" s="26" t="s">
        <v>14</v>
      </c>
      <c r="E36" s="26" t="s">
        <v>15</v>
      </c>
      <c r="F36" s="25">
        <f t="shared" si="0"/>
        <v>6.9444444444444198E-4</v>
      </c>
      <c r="G36" s="27">
        <f t="shared" si="12"/>
        <v>816</v>
      </c>
      <c r="H36" s="25">
        <f t="shared" si="2"/>
        <v>6.9444444444444198E-4</v>
      </c>
      <c r="I36" s="27">
        <f>HOUR(H36)*60+MINUTE(H36)</f>
        <v>1</v>
      </c>
      <c r="J36" s="27">
        <f t="shared" si="3"/>
        <v>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6">
      <c r="A37" s="25">
        <v>0.56666666666666665</v>
      </c>
      <c r="B37" s="25">
        <v>0.56736111111111109</v>
      </c>
      <c r="C37" s="25">
        <v>0.56944444444444442</v>
      </c>
      <c r="D37" s="26" t="s">
        <v>14</v>
      </c>
      <c r="E37" s="26" t="s">
        <v>15</v>
      </c>
      <c r="F37" s="25">
        <f t="shared" si="0"/>
        <v>2.0833333333333259E-3</v>
      </c>
      <c r="G37" s="27">
        <f t="shared" si="12"/>
        <v>816</v>
      </c>
      <c r="H37" s="25">
        <f t="shared" si="2"/>
        <v>2.0833333333333259E-3</v>
      </c>
      <c r="I37" s="27">
        <f>HOUR(H37)*60+MINUTE(H37)</f>
        <v>3</v>
      </c>
      <c r="J37" s="27">
        <f t="shared" si="3"/>
        <v>0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6">
      <c r="A38" s="25">
        <v>0.56736111111111109</v>
      </c>
      <c r="B38" s="25">
        <v>0.56944444444444442</v>
      </c>
      <c r="C38" s="25">
        <v>0.57291666666666663</v>
      </c>
      <c r="D38" s="26" t="s">
        <v>14</v>
      </c>
      <c r="E38" s="26" t="s">
        <v>15</v>
      </c>
      <c r="F38" s="25">
        <f t="shared" si="0"/>
        <v>3.4722222222222099E-3</v>
      </c>
      <c r="G38" s="27">
        <f t="shared" si="12"/>
        <v>817</v>
      </c>
      <c r="H38" s="25">
        <f t="shared" si="2"/>
        <v>3.4722222222222099E-3</v>
      </c>
      <c r="I38" s="27">
        <f>HOUR(H38)*60+MINUTE(H38)</f>
        <v>5</v>
      </c>
      <c r="J38" s="27">
        <f t="shared" si="3"/>
        <v>1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6">
      <c r="A39" s="25">
        <v>0.56944444444444442</v>
      </c>
      <c r="B39" s="25">
        <v>0.57291666666666663</v>
      </c>
      <c r="C39" s="25">
        <v>0.5756944444444444</v>
      </c>
      <c r="D39" s="26" t="s">
        <v>14</v>
      </c>
      <c r="E39" s="26" t="s">
        <v>15</v>
      </c>
      <c r="F39" s="25">
        <f t="shared" si="0"/>
        <v>2.7777777777777679E-3</v>
      </c>
      <c r="G39" s="27">
        <f t="shared" si="12"/>
        <v>820</v>
      </c>
      <c r="H39" s="25">
        <f t="shared" si="2"/>
        <v>2.7777777777777679E-3</v>
      </c>
      <c r="I39" s="27">
        <f>HOUR(H39)*60+MINUTE(H39)</f>
        <v>4</v>
      </c>
      <c r="J39" s="27">
        <f t="shared" si="3"/>
        <v>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6">
      <c r="A40" s="25">
        <v>0.57291666666666663</v>
      </c>
      <c r="B40" s="25">
        <v>0.5756944444444444</v>
      </c>
      <c r="C40" s="25">
        <v>0.57638888888888884</v>
      </c>
      <c r="D40" s="26" t="s">
        <v>14</v>
      </c>
      <c r="E40" s="26" t="s">
        <v>15</v>
      </c>
      <c r="F40" s="25">
        <f t="shared" si="0"/>
        <v>6.9444444444444198E-4</v>
      </c>
      <c r="G40" s="27">
        <f t="shared" si="12"/>
        <v>825</v>
      </c>
      <c r="H40" s="25">
        <f t="shared" si="2"/>
        <v>6.9444444444444198E-4</v>
      </c>
      <c r="I40" s="27">
        <f>HOUR(H40)*60+MINUTE(H40)</f>
        <v>1</v>
      </c>
      <c r="J40" s="27">
        <f t="shared" si="3"/>
        <v>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6">
      <c r="A41" s="25">
        <v>0.5756944444444444</v>
      </c>
      <c r="B41" s="25">
        <v>0.57638888888888884</v>
      </c>
      <c r="C41" s="25">
        <v>0.57986111111111116</v>
      </c>
      <c r="D41" s="26" t="s">
        <v>14</v>
      </c>
      <c r="E41" s="26" t="s">
        <v>15</v>
      </c>
      <c r="F41" s="25">
        <f t="shared" si="0"/>
        <v>3.4722222222223209E-3</v>
      </c>
      <c r="G41" s="27">
        <f t="shared" si="12"/>
        <v>829</v>
      </c>
      <c r="H41" s="25">
        <f t="shared" si="2"/>
        <v>3.4722222222223209E-3</v>
      </c>
      <c r="I41" s="27">
        <f>HOUR(H41)*60+MINUTE(H41)</f>
        <v>5</v>
      </c>
      <c r="J41" s="27">
        <f t="shared" si="3"/>
        <v>4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6">
      <c r="A42" s="25">
        <v>0.57638888888888884</v>
      </c>
      <c r="B42" s="25">
        <v>0.57986111111111116</v>
      </c>
      <c r="C42" s="25">
        <v>0.5805555555555556</v>
      </c>
      <c r="D42" s="26" t="s">
        <v>14</v>
      </c>
      <c r="E42" s="26" t="s">
        <v>15</v>
      </c>
      <c r="F42" s="25">
        <f t="shared" si="0"/>
        <v>6.9444444444444198E-4</v>
      </c>
      <c r="G42" s="27">
        <f t="shared" si="12"/>
        <v>830</v>
      </c>
      <c r="H42" s="25">
        <f t="shared" si="2"/>
        <v>6.9444444444444198E-4</v>
      </c>
      <c r="I42" s="27">
        <f>HOUR(H42)*60+MINUTE(H42)</f>
        <v>1</v>
      </c>
      <c r="J42" s="27">
        <f t="shared" si="3"/>
        <v>1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6">
      <c r="A43" s="25">
        <v>0.57986111111111116</v>
      </c>
      <c r="B43" s="25">
        <v>0.5805555555555556</v>
      </c>
      <c r="C43" s="25">
        <v>0.58125000000000004</v>
      </c>
      <c r="D43" s="26" t="s">
        <v>14</v>
      </c>
      <c r="E43" s="26" t="s">
        <v>15</v>
      </c>
      <c r="F43" s="25">
        <f t="shared" si="0"/>
        <v>6.9444444444444198E-4</v>
      </c>
      <c r="G43" s="27">
        <f t="shared" si="12"/>
        <v>835</v>
      </c>
      <c r="H43" s="25">
        <f t="shared" si="2"/>
        <v>6.9444444444444198E-4</v>
      </c>
      <c r="I43" s="27">
        <f>HOUR(H43)*60+MINUTE(H43)</f>
        <v>1</v>
      </c>
      <c r="J43" s="27">
        <f t="shared" si="3"/>
        <v>5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6">
      <c r="A44" s="25">
        <v>0.5805555555555556</v>
      </c>
      <c r="B44" s="25">
        <v>0.58125000000000004</v>
      </c>
      <c r="C44" s="25">
        <v>0.5854166666666667</v>
      </c>
      <c r="D44" s="26" t="s">
        <v>14</v>
      </c>
      <c r="E44" s="26" t="s">
        <v>15</v>
      </c>
      <c r="F44" s="25">
        <f t="shared" si="0"/>
        <v>4.1666666666666519E-3</v>
      </c>
      <c r="G44" s="27">
        <f t="shared" si="12"/>
        <v>836</v>
      </c>
      <c r="H44" s="25">
        <f t="shared" si="2"/>
        <v>4.1666666666666519E-3</v>
      </c>
      <c r="I44" s="27">
        <f>HOUR(H44)*60+MINUTE(H44)</f>
        <v>6</v>
      </c>
      <c r="J44" s="27">
        <f t="shared" si="3"/>
        <v>1</v>
      </c>
      <c r="K44" s="15"/>
      <c r="L44" s="15"/>
      <c r="M44" s="15"/>
      <c r="N44" s="54" t="s">
        <v>45</v>
      </c>
      <c r="O44" s="54" t="s">
        <v>11</v>
      </c>
      <c r="P44" s="15"/>
      <c r="Q44" s="15"/>
      <c r="R44" s="15"/>
      <c r="S44" s="15"/>
      <c r="T44" s="15"/>
      <c r="U44" s="15"/>
      <c r="V44" s="15"/>
      <c r="W44" s="15"/>
      <c r="X44" s="15"/>
    </row>
    <row r="45" spans="1:26">
      <c r="A45" s="25">
        <v>0.58125000000000004</v>
      </c>
      <c r="B45" s="25">
        <v>0.5854166666666667</v>
      </c>
      <c r="C45" s="25">
        <v>0.58819444444444446</v>
      </c>
      <c r="D45" s="26" t="s">
        <v>14</v>
      </c>
      <c r="E45" s="26" t="s">
        <v>15</v>
      </c>
      <c r="F45" s="25">
        <f t="shared" si="0"/>
        <v>2.7777777777777679E-3</v>
      </c>
      <c r="G45" s="27">
        <f t="shared" si="12"/>
        <v>837</v>
      </c>
      <c r="H45" s="25">
        <f t="shared" si="2"/>
        <v>2.7777777777777679E-3</v>
      </c>
      <c r="I45" s="27">
        <f>HOUR(H45)*60+MINUTE(H45)</f>
        <v>4</v>
      </c>
      <c r="J45" s="27">
        <f t="shared" si="3"/>
        <v>1</v>
      </c>
      <c r="K45" s="15"/>
      <c r="L45" s="77" t="s">
        <v>16</v>
      </c>
      <c r="M45" s="78" t="s">
        <v>17</v>
      </c>
      <c r="N45" s="79" t="s">
        <v>18</v>
      </c>
      <c r="O45" s="78" t="s">
        <v>19</v>
      </c>
      <c r="P45" s="78" t="s">
        <v>20</v>
      </c>
      <c r="Q45" s="78" t="s">
        <v>21</v>
      </c>
      <c r="R45" s="78" t="s">
        <v>22</v>
      </c>
      <c r="S45" s="78" t="s">
        <v>23</v>
      </c>
      <c r="T45" s="78" t="s">
        <v>24</v>
      </c>
      <c r="U45" s="78" t="s">
        <v>25</v>
      </c>
      <c r="V45" s="78" t="s">
        <v>26</v>
      </c>
      <c r="W45" s="78" t="s">
        <v>27</v>
      </c>
      <c r="X45" s="80" t="s">
        <v>28</v>
      </c>
    </row>
    <row r="46" spans="1:26" s="3" customFormat="1">
      <c r="A46" s="19">
        <v>0.5854166666666667</v>
      </c>
      <c r="B46" s="19">
        <v>0.58819444444444446</v>
      </c>
      <c r="C46" s="19">
        <v>0.59375</v>
      </c>
      <c r="D46" s="20" t="s">
        <v>14</v>
      </c>
      <c r="E46" s="20" t="s">
        <v>15</v>
      </c>
      <c r="F46" s="19">
        <f t="shared" si="0"/>
        <v>5.5555555555555358E-3</v>
      </c>
      <c r="G46" s="21">
        <f t="shared" si="12"/>
        <v>843</v>
      </c>
      <c r="H46" s="19">
        <f t="shared" si="2"/>
        <v>5.5555555555555358E-3</v>
      </c>
      <c r="I46" s="27">
        <f>HOUR(H46)*60+MINUTE(H46)</f>
        <v>8</v>
      </c>
      <c r="J46" s="21">
        <f t="shared" si="3"/>
        <v>6</v>
      </c>
      <c r="K46" s="28"/>
      <c r="L46" s="81" t="s">
        <v>29</v>
      </c>
      <c r="M46" s="55">
        <f>(P46+Q46)/2</f>
        <v>1</v>
      </c>
      <c r="N46" s="57" cm="1">
        <f t="array" ref="N46:N58">FREQUENCY( J179:J262,Q46:Q57)</f>
        <v>20</v>
      </c>
      <c r="O46" s="55">
        <f>M46*N46</f>
        <v>20</v>
      </c>
      <c r="P46" s="55">
        <v>0</v>
      </c>
      <c r="Q46" s="55">
        <v>2</v>
      </c>
      <c r="R46" s="55">
        <f>_xlfn.EXPON.DIST(P46,0.165668663,TRUE)</f>
        <v>0</v>
      </c>
      <c r="S46" s="55">
        <f>_xlfn.EXPON.DIST(Q46,0.165668663,TRUE)</f>
        <v>0.28203705937901263</v>
      </c>
      <c r="T46" s="55">
        <f>S46-R46</f>
        <v>0.28203705937901263</v>
      </c>
      <c r="U46" s="55">
        <f>T46*83</f>
        <v>23.409075928458048</v>
      </c>
      <c r="V46" s="57">
        <f>N46-U46</f>
        <v>-3.4090759284580479</v>
      </c>
      <c r="W46" s="57">
        <f>V46^2</f>
        <v>11.621798685992101</v>
      </c>
      <c r="X46" s="82">
        <f>W46/U46</f>
        <v>0.4964655042988545</v>
      </c>
      <c r="Y46" s="75"/>
      <c r="Z46" s="75"/>
    </row>
    <row r="47" spans="1:26" s="3" customFormat="1">
      <c r="A47" s="19">
        <v>0.58402777777777781</v>
      </c>
      <c r="B47" s="19">
        <v>0.58402777777777781</v>
      </c>
      <c r="C47" s="19">
        <v>0.58680555555555558</v>
      </c>
      <c r="D47" s="20" t="s">
        <v>46</v>
      </c>
      <c r="E47" s="20" t="s">
        <v>47</v>
      </c>
      <c r="F47" s="19">
        <f t="shared" si="0"/>
        <v>2.7777777777777679E-3</v>
      </c>
      <c r="G47" s="21">
        <f t="shared" si="12"/>
        <v>841</v>
      </c>
      <c r="H47" s="19">
        <f t="shared" si="2"/>
        <v>2.7777777777777679E-3</v>
      </c>
      <c r="I47" s="27">
        <f>HOUR(H47)*60+MINUTE(H47)</f>
        <v>4</v>
      </c>
      <c r="J47" s="21">
        <f>G47-G46</f>
        <v>-2</v>
      </c>
      <c r="K47" s="28"/>
      <c r="L47" s="83" t="s">
        <v>30</v>
      </c>
      <c r="M47" s="55">
        <f>(P47+Q47)/2</f>
        <v>3</v>
      </c>
      <c r="N47" s="57">
        <v>16</v>
      </c>
      <c r="O47" s="55">
        <f t="shared" ref="O47:O57" si="20">M47*N47</f>
        <v>48</v>
      </c>
      <c r="P47" s="55">
        <v>2</v>
      </c>
      <c r="Q47" s="55">
        <v>4</v>
      </c>
      <c r="R47" s="55">
        <f t="shared" ref="R47:R57" si="21">_xlfn.EXPON.DIST(P47,0.165668663,TRUE)</f>
        <v>0.28203705937901263</v>
      </c>
      <c r="S47" s="55">
        <f t="shared" ref="S47:S57" si="22">_xlfn.EXPON.DIST(Q47,0.165668663,TRUE)</f>
        <v>0.48452921589486453</v>
      </c>
      <c r="T47" s="55">
        <f t="shared" ref="T47:T57" si="23">S47-R47</f>
        <v>0.2024921565158519</v>
      </c>
      <c r="U47" s="55">
        <f t="shared" ref="U47:U57" si="24">T47*83</f>
        <v>16.806848990815709</v>
      </c>
      <c r="V47" s="57">
        <f t="shared" ref="V47:V57" si="25">N47-U47</f>
        <v>-0.80684899081570904</v>
      </c>
      <c r="W47" s="57">
        <f t="shared" ref="W47:W57" si="26">V47^2</f>
        <v>0.65100529398032814</v>
      </c>
      <c r="X47" s="82">
        <f t="shared" ref="X47:X57" si="27">W47/U47</f>
        <v>3.8734523903682198E-2</v>
      </c>
      <c r="Y47" s="75"/>
      <c r="Z47" s="75"/>
    </row>
    <row r="48" spans="1:26" s="6" customFormat="1">
      <c r="A48" s="22">
        <v>0.5854166666666667</v>
      </c>
      <c r="B48" s="22">
        <v>0.5854166666666667</v>
      </c>
      <c r="C48" s="22">
        <v>0.58750000000000002</v>
      </c>
      <c r="D48" s="23" t="s">
        <v>48</v>
      </c>
      <c r="E48" s="23" t="s">
        <v>47</v>
      </c>
      <c r="F48" s="22">
        <f t="shared" si="0"/>
        <v>2.0833333333333259E-3</v>
      </c>
      <c r="G48" s="24">
        <f t="shared" si="12"/>
        <v>843</v>
      </c>
      <c r="H48" s="22">
        <f t="shared" si="2"/>
        <v>2.0833333333333259E-3</v>
      </c>
      <c r="I48" s="27">
        <f>HOUR(H48)*60+MINUTE(H48)</f>
        <v>3</v>
      </c>
      <c r="J48" s="24">
        <f t="shared" si="3"/>
        <v>2</v>
      </c>
      <c r="K48" s="28"/>
      <c r="L48" s="81" t="s">
        <v>31</v>
      </c>
      <c r="M48" s="55">
        <f>(P48+Q48)/2</f>
        <v>5</v>
      </c>
      <c r="N48" s="57">
        <v>13</v>
      </c>
      <c r="O48" s="55">
        <f t="shared" si="20"/>
        <v>65</v>
      </c>
      <c r="P48" s="55">
        <v>4</v>
      </c>
      <c r="Q48" s="55">
        <v>6</v>
      </c>
      <c r="R48" s="55">
        <f t="shared" si="21"/>
        <v>0.48452921589486453</v>
      </c>
      <c r="S48" s="55">
        <f t="shared" si="22"/>
        <v>0.62991108003967089</v>
      </c>
      <c r="T48" s="55">
        <f t="shared" si="23"/>
        <v>0.14538186414480636</v>
      </c>
      <c r="U48" s="55">
        <f t="shared" si="24"/>
        <v>12.066694724018928</v>
      </c>
      <c r="V48" s="57">
        <f t="shared" si="25"/>
        <v>0.9333052759810716</v>
      </c>
      <c r="W48" s="57">
        <f t="shared" si="26"/>
        <v>0.87105873817410417</v>
      </c>
      <c r="X48" s="82">
        <f t="shared" si="27"/>
        <v>7.2187020397578239E-2</v>
      </c>
      <c r="Y48" s="75"/>
      <c r="Z48" s="75"/>
    </row>
    <row r="49" spans="1:43" s="3" customFormat="1">
      <c r="A49" s="19">
        <v>0.58750000000000002</v>
      </c>
      <c r="B49" s="19">
        <v>0.58750000000000002</v>
      </c>
      <c r="C49" s="19">
        <v>0.58750000000000002</v>
      </c>
      <c r="D49" s="20" t="s">
        <v>46</v>
      </c>
      <c r="E49" s="20" t="s">
        <v>47</v>
      </c>
      <c r="F49" s="19">
        <f t="shared" si="0"/>
        <v>0</v>
      </c>
      <c r="G49" s="21">
        <f t="shared" si="12"/>
        <v>846</v>
      </c>
      <c r="H49" s="19">
        <f t="shared" si="2"/>
        <v>0</v>
      </c>
      <c r="I49" s="27">
        <f>HOUR(H49)*60+MINUTE(H49)</f>
        <v>0</v>
      </c>
      <c r="J49" s="21">
        <f t="shared" si="3"/>
        <v>3</v>
      </c>
      <c r="K49" s="28"/>
      <c r="L49" s="81" t="s">
        <v>32</v>
      </c>
      <c r="M49" s="55">
        <f>(P49+Q49)/2</f>
        <v>7</v>
      </c>
      <c r="N49" s="57">
        <v>12</v>
      </c>
      <c r="O49" s="55">
        <f t="shared" si="20"/>
        <v>84</v>
      </c>
      <c r="P49" s="55">
        <v>6</v>
      </c>
      <c r="Q49" s="55">
        <v>8</v>
      </c>
      <c r="R49" s="55">
        <f t="shared" si="21"/>
        <v>0.62991108003967089</v>
      </c>
      <c r="S49" s="55">
        <f t="shared" si="22"/>
        <v>0.73428987073403684</v>
      </c>
      <c r="T49" s="55">
        <f t="shared" si="23"/>
        <v>0.10437879069436595</v>
      </c>
      <c r="U49" s="55">
        <f t="shared" si="24"/>
        <v>8.6634396276323749</v>
      </c>
      <c r="V49" s="57">
        <f t="shared" si="25"/>
        <v>3.3365603723676251</v>
      </c>
      <c r="W49" s="57">
        <f t="shared" si="26"/>
        <v>11.132635118453985</v>
      </c>
      <c r="X49" s="82">
        <f t="shared" si="27"/>
        <v>1.2850132969064638</v>
      </c>
      <c r="Y49" s="75"/>
      <c r="Z49" s="75"/>
    </row>
    <row r="50" spans="1:43" s="3" customFormat="1">
      <c r="A50" s="19">
        <v>0.58958333333333335</v>
      </c>
      <c r="B50" s="19">
        <v>0.58958333333333335</v>
      </c>
      <c r="C50" s="19">
        <v>0.59097222222222223</v>
      </c>
      <c r="D50" s="20" t="s">
        <v>46</v>
      </c>
      <c r="E50" s="20" t="s">
        <v>47</v>
      </c>
      <c r="F50" s="19">
        <f t="shared" si="0"/>
        <v>1.388888888888884E-3</v>
      </c>
      <c r="G50" s="21">
        <f t="shared" si="12"/>
        <v>849</v>
      </c>
      <c r="H50" s="19">
        <f t="shared" si="2"/>
        <v>1.388888888888884E-3</v>
      </c>
      <c r="I50" s="27">
        <f>HOUR(H50)*60+MINUTE(H50)</f>
        <v>2</v>
      </c>
      <c r="J50" s="21">
        <f t="shared" si="3"/>
        <v>3</v>
      </c>
      <c r="K50" s="28"/>
      <c r="L50" s="83" t="s">
        <v>33</v>
      </c>
      <c r="M50" s="55">
        <f>(P50+Q50)/2</f>
        <v>9</v>
      </c>
      <c r="N50" s="57">
        <v>8</v>
      </c>
      <c r="O50" s="55">
        <f t="shared" si="20"/>
        <v>72</v>
      </c>
      <c r="P50" s="55">
        <v>8</v>
      </c>
      <c r="Q50" s="55">
        <v>10</v>
      </c>
      <c r="R50" s="55">
        <f t="shared" si="21"/>
        <v>0.73428987073403684</v>
      </c>
      <c r="S50" s="55">
        <f t="shared" si="22"/>
        <v>0.80922997423942644</v>
      </c>
      <c r="T50" s="55">
        <f t="shared" si="23"/>
        <v>7.4940103505389599E-2</v>
      </c>
      <c r="U50" s="55">
        <f t="shared" si="24"/>
        <v>6.2200285909473365</v>
      </c>
      <c r="V50" s="57">
        <f t="shared" si="25"/>
        <v>1.7799714090526635</v>
      </c>
      <c r="W50" s="57">
        <f t="shared" si="26"/>
        <v>3.1682982170449243</v>
      </c>
      <c r="X50" s="82">
        <f t="shared" si="27"/>
        <v>0.50937036232535693</v>
      </c>
      <c r="Y50" s="75"/>
      <c r="Z50" s="75"/>
    </row>
    <row r="51" spans="1:43" s="6" customFormat="1">
      <c r="A51" s="22">
        <v>0.59027777777777779</v>
      </c>
      <c r="B51" s="22">
        <v>0.59027777777777779</v>
      </c>
      <c r="C51" s="22">
        <v>0.59166666666666667</v>
      </c>
      <c r="D51" s="23" t="s">
        <v>48</v>
      </c>
      <c r="E51" s="23" t="s">
        <v>47</v>
      </c>
      <c r="F51" s="22">
        <f t="shared" si="0"/>
        <v>1.388888888888884E-3</v>
      </c>
      <c r="G51" s="24">
        <f t="shared" si="12"/>
        <v>850</v>
      </c>
      <c r="H51" s="22">
        <f t="shared" si="2"/>
        <v>1.388888888888884E-3</v>
      </c>
      <c r="I51" s="27">
        <f>HOUR(H51)*60+MINUTE(H51)</f>
        <v>2</v>
      </c>
      <c r="J51" s="24">
        <f t="shared" si="3"/>
        <v>1</v>
      </c>
      <c r="K51" s="28"/>
      <c r="L51" s="81" t="s">
        <v>34</v>
      </c>
      <c r="M51" s="55">
        <f>(P51+Q51)/2</f>
        <v>11</v>
      </c>
      <c r="N51" s="57">
        <v>4</v>
      </c>
      <c r="O51" s="55">
        <f t="shared" si="20"/>
        <v>44</v>
      </c>
      <c r="P51" s="55">
        <v>10</v>
      </c>
      <c r="Q51" s="55">
        <v>12</v>
      </c>
      <c r="R51" s="55">
        <f t="shared" si="21"/>
        <v>0.80922997423942644</v>
      </c>
      <c r="S51" s="55">
        <f t="shared" si="22"/>
        <v>0.86303419132259707</v>
      </c>
      <c r="T51" s="55">
        <f t="shared" si="23"/>
        <v>5.3804217083170625E-2</v>
      </c>
      <c r="U51" s="55">
        <f t="shared" si="24"/>
        <v>4.4657500179031615</v>
      </c>
      <c r="V51" s="57">
        <f t="shared" si="25"/>
        <v>-0.46575001790316151</v>
      </c>
      <c r="W51" s="57">
        <f t="shared" si="26"/>
        <v>0.21692307917679526</v>
      </c>
      <c r="X51" s="82">
        <f t="shared" si="27"/>
        <v>4.8574836994267956E-2</v>
      </c>
      <c r="Y51" s="75"/>
      <c r="Z51" s="75"/>
    </row>
    <row r="52" spans="1:43" s="3" customFormat="1">
      <c r="A52" s="19">
        <v>0.60138888888888886</v>
      </c>
      <c r="B52" s="19">
        <v>0.60138888888888886</v>
      </c>
      <c r="C52" s="19">
        <v>0.6020833333333333</v>
      </c>
      <c r="D52" s="20" t="s">
        <v>46</v>
      </c>
      <c r="E52" s="20" t="s">
        <v>47</v>
      </c>
      <c r="F52" s="19">
        <f t="shared" si="0"/>
        <v>6.9444444444444198E-4</v>
      </c>
      <c r="G52" s="21">
        <f t="shared" si="12"/>
        <v>866</v>
      </c>
      <c r="H52" s="19">
        <f t="shared" si="2"/>
        <v>6.9444444444444198E-4</v>
      </c>
      <c r="I52" s="27">
        <f>HOUR(H52)*60+MINUTE(H52)</f>
        <v>1</v>
      </c>
      <c r="J52" s="21">
        <f>G52-G51</f>
        <v>16</v>
      </c>
      <c r="K52" s="28"/>
      <c r="L52" s="81" t="s">
        <v>35</v>
      </c>
      <c r="M52" s="55">
        <f>(P52+Q52)/2</f>
        <v>13</v>
      </c>
      <c r="N52" s="57">
        <v>1</v>
      </c>
      <c r="O52" s="55">
        <f t="shared" si="20"/>
        <v>13</v>
      </c>
      <c r="P52" s="55">
        <v>12</v>
      </c>
      <c r="Q52" s="55">
        <v>14</v>
      </c>
      <c r="R52" s="55">
        <f t="shared" si="21"/>
        <v>0.86303419132259707</v>
      </c>
      <c r="S52" s="55">
        <f t="shared" si="22"/>
        <v>0.90166362523744026</v>
      </c>
      <c r="T52" s="55">
        <f t="shared" si="23"/>
        <v>3.8629433914843192E-2</v>
      </c>
      <c r="U52" s="55">
        <f t="shared" si="24"/>
        <v>3.2062430149319852</v>
      </c>
      <c r="V52" s="57">
        <f t="shared" si="25"/>
        <v>-2.2062430149319852</v>
      </c>
      <c r="W52" s="57">
        <f t="shared" si="26"/>
        <v>4.8675082409361758</v>
      </c>
      <c r="X52" s="82">
        <f t="shared" si="27"/>
        <v>1.5181345326188356</v>
      </c>
      <c r="Y52" s="75"/>
      <c r="Z52" s="75"/>
    </row>
    <row r="53" spans="1:43" s="3" customFormat="1">
      <c r="A53" s="19">
        <v>0.60624999999999996</v>
      </c>
      <c r="B53" s="19">
        <v>0.60624999999999996</v>
      </c>
      <c r="C53" s="19">
        <v>0.61597222222222225</v>
      </c>
      <c r="D53" s="20" t="s">
        <v>46</v>
      </c>
      <c r="E53" s="20" t="s">
        <v>47</v>
      </c>
      <c r="F53" s="19">
        <f t="shared" si="0"/>
        <v>9.7222222222222987E-3</v>
      </c>
      <c r="G53" s="21">
        <f t="shared" si="12"/>
        <v>873</v>
      </c>
      <c r="H53" s="19">
        <f t="shared" si="2"/>
        <v>9.7222222222222987E-3</v>
      </c>
      <c r="I53" s="27">
        <f>HOUR(H53)*60+MINUTE(H53)</f>
        <v>14</v>
      </c>
      <c r="J53" s="21">
        <f t="shared" si="3"/>
        <v>7</v>
      </c>
      <c r="K53" s="28"/>
      <c r="L53" s="81" t="s">
        <v>49</v>
      </c>
      <c r="M53" s="55">
        <f>(P53+Q53)/2</f>
        <v>15</v>
      </c>
      <c r="N53" s="55">
        <v>4</v>
      </c>
      <c r="O53" s="55">
        <f t="shared" si="20"/>
        <v>60</v>
      </c>
      <c r="P53" s="55">
        <v>14</v>
      </c>
      <c r="Q53" s="55">
        <v>16</v>
      </c>
      <c r="R53" s="55">
        <f t="shared" si="21"/>
        <v>0.90166362523744026</v>
      </c>
      <c r="S53" s="55">
        <f t="shared" si="22"/>
        <v>0.92939812720546522</v>
      </c>
      <c r="T53" s="55">
        <f t="shared" si="23"/>
        <v>2.773450196802496E-2</v>
      </c>
      <c r="U53" s="55">
        <f t="shared" si="24"/>
        <v>2.3019636633460716</v>
      </c>
      <c r="V53" s="57">
        <f t="shared" si="25"/>
        <v>1.6980363366539284</v>
      </c>
      <c r="W53" s="57">
        <f t="shared" si="26"/>
        <v>2.8833274005970932</v>
      </c>
      <c r="X53" s="82">
        <f t="shared" si="27"/>
        <v>1.2525512224662865</v>
      </c>
      <c r="Y53" s="75"/>
      <c r="Z53" s="75"/>
    </row>
    <row r="54" spans="1:43" s="6" customFormat="1">
      <c r="A54" s="22">
        <v>0.61458333333333337</v>
      </c>
      <c r="B54" s="22">
        <v>0.61458333333333337</v>
      </c>
      <c r="C54" s="22">
        <v>0.61597222222222225</v>
      </c>
      <c r="D54" s="23" t="s">
        <v>48</v>
      </c>
      <c r="E54" s="23" t="s">
        <v>47</v>
      </c>
      <c r="F54" s="22">
        <f t="shared" si="0"/>
        <v>1.388888888888884E-3</v>
      </c>
      <c r="G54" s="24">
        <f t="shared" si="12"/>
        <v>885</v>
      </c>
      <c r="H54" s="22">
        <f t="shared" si="2"/>
        <v>1.388888888888884E-3</v>
      </c>
      <c r="I54" s="27">
        <f>HOUR(H54)*60+MINUTE(H54)</f>
        <v>2</v>
      </c>
      <c r="J54" s="24">
        <f t="shared" si="3"/>
        <v>12</v>
      </c>
      <c r="K54" s="28"/>
      <c r="L54" s="81" t="s">
        <v>50</v>
      </c>
      <c r="M54" s="55">
        <f>(P54+Q54)/2</f>
        <v>17</v>
      </c>
      <c r="N54" s="55">
        <v>2</v>
      </c>
      <c r="O54" s="55">
        <f t="shared" si="20"/>
        <v>34</v>
      </c>
      <c r="P54" s="55">
        <v>16</v>
      </c>
      <c r="Q54" s="55">
        <v>18</v>
      </c>
      <c r="R54" s="55">
        <f t="shared" si="21"/>
        <v>0.92939812720546522</v>
      </c>
      <c r="S54" s="55">
        <f t="shared" si="22"/>
        <v>0.94931047179508687</v>
      </c>
      <c r="T54" s="55">
        <f t="shared" si="23"/>
        <v>1.9912344589621656E-2</v>
      </c>
      <c r="U54" s="55">
        <f t="shared" si="24"/>
        <v>1.6527246009385974</v>
      </c>
      <c r="V54" s="57">
        <f t="shared" si="25"/>
        <v>0.34727539906140259</v>
      </c>
      <c r="W54" s="57">
        <f t="shared" si="26"/>
        <v>0.12060020279325642</v>
      </c>
      <c r="X54" s="82">
        <f t="shared" si="27"/>
        <v>7.2970537695612722E-2</v>
      </c>
      <c r="Y54" s="75"/>
      <c r="Z54" s="75"/>
    </row>
    <row r="55" spans="1:43" s="3" customFormat="1">
      <c r="A55" s="19">
        <v>0.62222222222222223</v>
      </c>
      <c r="B55" s="19">
        <v>0.62222222222222223</v>
      </c>
      <c r="C55" s="19">
        <v>0.62777777777777777</v>
      </c>
      <c r="D55" s="20" t="s">
        <v>46</v>
      </c>
      <c r="E55" s="20" t="s">
        <v>47</v>
      </c>
      <c r="F55" s="19">
        <f t="shared" si="0"/>
        <v>5.5555555555555358E-3</v>
      </c>
      <c r="G55" s="21">
        <f t="shared" si="12"/>
        <v>896</v>
      </c>
      <c r="H55" s="19">
        <f t="shared" si="2"/>
        <v>5.5555555555555358E-3</v>
      </c>
      <c r="I55" s="27">
        <f>HOUR(H55)*60+MINUTE(H55)</f>
        <v>8</v>
      </c>
      <c r="J55" s="21">
        <f t="shared" si="3"/>
        <v>11</v>
      </c>
      <c r="K55" s="28"/>
      <c r="L55" s="81" t="s">
        <v>51</v>
      </c>
      <c r="M55" s="55">
        <f t="shared" ref="M53:M57" si="28">(P55+Q55)/2</f>
        <v>19</v>
      </c>
      <c r="N55" s="55">
        <v>2</v>
      </c>
      <c r="O55" s="55">
        <f t="shared" si="20"/>
        <v>38</v>
      </c>
      <c r="P55" s="55">
        <v>18</v>
      </c>
      <c r="Q55" s="55">
        <v>20</v>
      </c>
      <c r="R55" s="55">
        <f t="shared" si="21"/>
        <v>0.94931047179508687</v>
      </c>
      <c r="S55" s="55">
        <f t="shared" si="22"/>
        <v>0.96360679727131004</v>
      </c>
      <c r="T55" s="55">
        <f t="shared" si="23"/>
        <v>1.4296325476223171E-2</v>
      </c>
      <c r="U55" s="55">
        <f t="shared" si="24"/>
        <v>1.1865950145265232</v>
      </c>
      <c r="V55" s="57">
        <f t="shared" si="25"/>
        <v>0.81340498547347684</v>
      </c>
      <c r="W55" s="57">
        <f t="shared" si="26"/>
        <v>0.6616276703931071</v>
      </c>
      <c r="X55" s="82">
        <f t="shared" si="27"/>
        <v>0.55758507518853073</v>
      </c>
      <c r="Y55" s="75"/>
      <c r="Z55" s="75"/>
    </row>
    <row r="56" spans="1:43" s="6" customFormat="1">
      <c r="A56" s="22">
        <v>0.625</v>
      </c>
      <c r="B56" s="22">
        <v>0.625</v>
      </c>
      <c r="C56" s="22">
        <v>0.62777777777777777</v>
      </c>
      <c r="D56" s="23" t="s">
        <v>48</v>
      </c>
      <c r="E56" s="23" t="s">
        <v>47</v>
      </c>
      <c r="F56" s="22">
        <f t="shared" si="0"/>
        <v>2.7777777777777679E-3</v>
      </c>
      <c r="G56" s="24">
        <f t="shared" si="12"/>
        <v>900</v>
      </c>
      <c r="H56" s="22">
        <f t="shared" si="2"/>
        <v>2.7777777777777679E-3</v>
      </c>
      <c r="I56" s="27">
        <f>HOUR(H56)*60+MINUTE(H56)</f>
        <v>4</v>
      </c>
      <c r="J56" s="24">
        <f t="shared" si="3"/>
        <v>4</v>
      </c>
      <c r="K56" s="28"/>
      <c r="L56" s="81" t="s">
        <v>52</v>
      </c>
      <c r="M56" s="55">
        <f t="shared" si="28"/>
        <v>21</v>
      </c>
      <c r="N56" s="55">
        <v>0</v>
      </c>
      <c r="O56" s="55">
        <f t="shared" si="20"/>
        <v>0</v>
      </c>
      <c r="P56" s="55">
        <v>20</v>
      </c>
      <c r="Q56" s="55">
        <v>22</v>
      </c>
      <c r="R56" s="55">
        <f t="shared" si="21"/>
        <v>0.96360679727131004</v>
      </c>
      <c r="S56" s="55">
        <f t="shared" si="22"/>
        <v>0.97387102915029411</v>
      </c>
      <c r="T56" s="55">
        <f t="shared" si="23"/>
        <v>1.0264231878984065E-2</v>
      </c>
      <c r="U56" s="55">
        <f t="shared" si="24"/>
        <v>0.85193124595567737</v>
      </c>
      <c r="V56" s="57">
        <f t="shared" si="25"/>
        <v>-0.85193124595567737</v>
      </c>
      <c r="W56" s="57">
        <f t="shared" si="26"/>
        <v>0.72578684783559289</v>
      </c>
      <c r="X56" s="82">
        <f t="shared" si="27"/>
        <v>0.85193124595567737</v>
      </c>
      <c r="Y56" s="75"/>
      <c r="Z56" s="75"/>
    </row>
    <row r="57" spans="1:43" s="3" customFormat="1">
      <c r="A57" s="19">
        <v>0.63263888888888886</v>
      </c>
      <c r="B57" s="19">
        <v>0.63263888888888886</v>
      </c>
      <c r="C57" s="19">
        <v>0.63680555555555551</v>
      </c>
      <c r="D57" s="20" t="s">
        <v>46</v>
      </c>
      <c r="E57" s="20" t="s">
        <v>47</v>
      </c>
      <c r="F57" s="19">
        <f t="shared" si="0"/>
        <v>4.1666666666666519E-3</v>
      </c>
      <c r="G57" s="21">
        <f t="shared" si="12"/>
        <v>911</v>
      </c>
      <c r="H57" s="19">
        <f t="shared" si="2"/>
        <v>4.1666666666666519E-3</v>
      </c>
      <c r="I57" s="27">
        <f>HOUR(H57)*60+MINUTE(H57)</f>
        <v>6</v>
      </c>
      <c r="J57" s="21">
        <f t="shared" si="3"/>
        <v>11</v>
      </c>
      <c r="K57" s="28"/>
      <c r="L57" s="81" t="s">
        <v>53</v>
      </c>
      <c r="M57" s="55">
        <f t="shared" si="28"/>
        <v>23</v>
      </c>
      <c r="N57" s="55">
        <v>1</v>
      </c>
      <c r="O57" s="55">
        <f t="shared" si="20"/>
        <v>23</v>
      </c>
      <c r="P57" s="55">
        <v>22</v>
      </c>
      <c r="Q57" s="55">
        <v>24</v>
      </c>
      <c r="R57" s="55">
        <f t="shared" si="21"/>
        <v>0.97387102915029411</v>
      </c>
      <c r="S57" s="55">
        <f t="shared" si="22"/>
        <v>0.98124036725334507</v>
      </c>
      <c r="T57" s="55">
        <f t="shared" si="23"/>
        <v>7.3693381030509597E-3</v>
      </c>
      <c r="U57" s="55">
        <f t="shared" si="24"/>
        <v>0.61165506255322966</v>
      </c>
      <c r="V57" s="57">
        <f t="shared" si="25"/>
        <v>0.38834493744677034</v>
      </c>
      <c r="W57" s="57">
        <f t="shared" si="26"/>
        <v>0.15081179044053597</v>
      </c>
      <c r="X57" s="82">
        <f t="shared" si="27"/>
        <v>0.2465634630914405</v>
      </c>
      <c r="Y57" s="75"/>
      <c r="Z57" s="75"/>
    </row>
    <row r="58" spans="1:43" s="6" customFormat="1">
      <c r="A58" s="22">
        <v>0.6333333333333333</v>
      </c>
      <c r="B58" s="22">
        <v>0.6333333333333333</v>
      </c>
      <c r="C58" s="22">
        <v>0.63472222222222219</v>
      </c>
      <c r="D58" s="23" t="s">
        <v>48</v>
      </c>
      <c r="E58" s="23" t="s">
        <v>47</v>
      </c>
      <c r="F58" s="22">
        <f t="shared" si="0"/>
        <v>1.388888888888884E-3</v>
      </c>
      <c r="G58" s="24">
        <f t="shared" si="12"/>
        <v>912</v>
      </c>
      <c r="H58" s="22">
        <f t="shared" si="2"/>
        <v>1.388888888888884E-3</v>
      </c>
      <c r="I58" s="27">
        <f>HOUR(H58)*60+MINUTE(H58)</f>
        <v>2</v>
      </c>
      <c r="J58" s="24">
        <f t="shared" si="3"/>
        <v>1</v>
      </c>
      <c r="K58" s="28"/>
      <c r="L58" s="98"/>
      <c r="M58" s="99"/>
      <c r="N58" s="99">
        <v>0</v>
      </c>
      <c r="O58" s="99"/>
      <c r="P58" s="99"/>
      <c r="Q58" s="99"/>
      <c r="R58" s="99"/>
      <c r="S58" s="99"/>
      <c r="T58" s="99"/>
      <c r="U58" s="99"/>
      <c r="V58" s="99"/>
      <c r="W58" s="99"/>
      <c r="X58" s="100"/>
      <c r="Y58" s="75"/>
      <c r="Z58" s="75"/>
    </row>
    <row r="59" spans="1:43" s="6" customFormat="1">
      <c r="A59" s="22">
        <v>0.6333333333333333</v>
      </c>
      <c r="B59" s="22">
        <v>0.63472222222222219</v>
      </c>
      <c r="C59" s="22">
        <v>0.63749999999999996</v>
      </c>
      <c r="D59" s="23" t="s">
        <v>48</v>
      </c>
      <c r="E59" s="23" t="s">
        <v>47</v>
      </c>
      <c r="F59" s="22">
        <f t="shared" si="0"/>
        <v>2.7777777777777679E-3</v>
      </c>
      <c r="G59" s="24">
        <f t="shared" si="12"/>
        <v>912</v>
      </c>
      <c r="H59" s="22">
        <f t="shared" si="2"/>
        <v>2.7777777777777679E-3</v>
      </c>
      <c r="I59" s="27">
        <f>HOUR(H59)*60+MINUTE(H59)</f>
        <v>4</v>
      </c>
      <c r="J59" s="24">
        <f t="shared" si="3"/>
        <v>0</v>
      </c>
      <c r="K59" s="28"/>
      <c r="L59" s="49" t="s">
        <v>54</v>
      </c>
      <c r="M59" s="49"/>
      <c r="N59" s="50">
        <f>SUM(N46:N57)</f>
        <v>83</v>
      </c>
      <c r="O59" s="49">
        <f>SUM(O46:O57)</f>
        <v>501</v>
      </c>
      <c r="P59" s="49"/>
      <c r="Q59" s="49"/>
      <c r="R59" s="49"/>
      <c r="S59" s="49"/>
      <c r="T59" s="49"/>
      <c r="U59" s="49"/>
      <c r="V59" s="49"/>
      <c r="W59" s="49"/>
      <c r="X59" s="49">
        <f>SUM(X46:X57)</f>
        <v>6.950081621842588</v>
      </c>
      <c r="Y59" s="75"/>
      <c r="Z59" s="75"/>
    </row>
    <row r="60" spans="1:43" s="3" customFormat="1">
      <c r="A60" s="19">
        <v>0.63402777777777775</v>
      </c>
      <c r="B60" s="19">
        <v>0.63680555555555551</v>
      </c>
      <c r="C60" s="19">
        <v>0.63888888888888884</v>
      </c>
      <c r="D60" s="20" t="s">
        <v>46</v>
      </c>
      <c r="E60" s="20" t="s">
        <v>47</v>
      </c>
      <c r="F60" s="19">
        <f t="shared" si="0"/>
        <v>2.0833333333333259E-3</v>
      </c>
      <c r="G60" s="21">
        <f t="shared" si="12"/>
        <v>913</v>
      </c>
      <c r="H60" s="19">
        <f t="shared" si="2"/>
        <v>2.0833333333333259E-3</v>
      </c>
      <c r="I60" s="27">
        <f>HOUR(H60)*60+MINUTE(H60)</f>
        <v>3</v>
      </c>
      <c r="J60" s="21">
        <f t="shared" si="3"/>
        <v>1</v>
      </c>
      <c r="K60" s="28"/>
      <c r="L60" s="20"/>
      <c r="M60" s="51" t="s">
        <v>37</v>
      </c>
      <c r="N60" s="51">
        <f>O59/N59</f>
        <v>6.0361445783132526</v>
      </c>
      <c r="O60" s="51">
        <f>ROUND(N60,3)</f>
        <v>6.0359999999999996</v>
      </c>
      <c r="P60" s="20"/>
      <c r="Q60" s="20"/>
      <c r="R60" s="20"/>
      <c r="S60" s="20"/>
      <c r="T60" s="20"/>
      <c r="U60" s="20"/>
      <c r="V60" s="20"/>
      <c r="W60" s="20"/>
      <c r="X60" s="20"/>
      <c r="Y60" s="75"/>
      <c r="Z60" s="75"/>
    </row>
    <row r="61" spans="1:43" s="6" customFormat="1">
      <c r="A61" s="22">
        <v>0.63472222222222219</v>
      </c>
      <c r="B61" s="22">
        <v>0.63749999999999996</v>
      </c>
      <c r="C61" s="22">
        <v>0.6381944444444444</v>
      </c>
      <c r="D61" s="23" t="s">
        <v>48</v>
      </c>
      <c r="E61" s="23" t="s">
        <v>47</v>
      </c>
      <c r="F61" s="22">
        <f t="shared" si="0"/>
        <v>6.9444444444444198E-4</v>
      </c>
      <c r="G61" s="24">
        <f t="shared" si="12"/>
        <v>914</v>
      </c>
      <c r="H61" s="22">
        <f t="shared" si="2"/>
        <v>6.9444444444444198E-4</v>
      </c>
      <c r="I61" s="27">
        <f>HOUR(H61)*60+MINUTE(H61)</f>
        <v>1</v>
      </c>
      <c r="J61" s="24">
        <f t="shared" si="3"/>
        <v>1</v>
      </c>
      <c r="K61" s="28"/>
      <c r="L61" s="23"/>
      <c r="M61" s="51" t="s">
        <v>38</v>
      </c>
      <c r="N61" s="51">
        <f>1/N60</f>
        <v>0.16566866267465072</v>
      </c>
      <c r="O61" s="51"/>
      <c r="P61" s="23"/>
      <c r="Q61" s="206" t="s">
        <v>39</v>
      </c>
      <c r="R61" s="206"/>
      <c r="S61" s="206"/>
      <c r="T61" s="206"/>
      <c r="U61" s="206"/>
      <c r="V61" s="206"/>
      <c r="W61" s="206"/>
      <c r="X61" s="206"/>
      <c r="Y61" s="75"/>
      <c r="Z61" s="75"/>
    </row>
    <row r="62" spans="1:43" s="6" customFormat="1">
      <c r="A62" s="22">
        <v>0.63680555555555551</v>
      </c>
      <c r="B62" s="22">
        <v>0.6381944444444444</v>
      </c>
      <c r="C62" s="22">
        <v>0.64166666666666672</v>
      </c>
      <c r="D62" s="23" t="s">
        <v>48</v>
      </c>
      <c r="E62" s="23" t="s">
        <v>47</v>
      </c>
      <c r="F62" s="22">
        <f t="shared" si="0"/>
        <v>3.4722222222223209E-3</v>
      </c>
      <c r="G62" s="24">
        <f t="shared" si="12"/>
        <v>917</v>
      </c>
      <c r="H62" s="22">
        <f t="shared" si="2"/>
        <v>3.4722222222223209E-3</v>
      </c>
      <c r="I62" s="27">
        <f>HOUR(H62)*60+MINUTE(H62)</f>
        <v>5</v>
      </c>
      <c r="J62" s="24">
        <f t="shared" si="3"/>
        <v>3</v>
      </c>
      <c r="K62" s="28"/>
      <c r="L62" s="23"/>
      <c r="M62" s="51" t="s">
        <v>40</v>
      </c>
      <c r="N62" s="51">
        <v>10</v>
      </c>
      <c r="O62" s="51">
        <v>0.16566866267465072</v>
      </c>
      <c r="P62" s="23"/>
      <c r="Q62" s="23"/>
      <c r="R62" s="23"/>
      <c r="S62" s="23"/>
      <c r="T62" s="23"/>
      <c r="U62" s="23"/>
      <c r="V62" s="23"/>
      <c r="W62" s="23"/>
      <c r="X62" s="23"/>
      <c r="Y62" s="75"/>
      <c r="Z62" s="75"/>
    </row>
    <row r="63" spans="1:43" s="3" customFormat="1">
      <c r="A63" s="19">
        <v>0.63749999999999996</v>
      </c>
      <c r="B63" s="19">
        <v>0.63888888888888884</v>
      </c>
      <c r="C63" s="19">
        <v>0.63958333333333328</v>
      </c>
      <c r="D63" s="20" t="s">
        <v>46</v>
      </c>
      <c r="E63" s="20" t="s">
        <v>47</v>
      </c>
      <c r="F63" s="19">
        <f t="shared" si="0"/>
        <v>6.9444444444444198E-4</v>
      </c>
      <c r="G63" s="21">
        <f t="shared" si="12"/>
        <v>918</v>
      </c>
      <c r="H63" s="19">
        <f t="shared" si="2"/>
        <v>6.9444444444444198E-4</v>
      </c>
      <c r="I63" s="27">
        <f>HOUR(H63)*60+MINUTE(H63)</f>
        <v>1</v>
      </c>
      <c r="J63" s="21">
        <f t="shared" si="3"/>
        <v>1</v>
      </c>
      <c r="K63" s="28"/>
      <c r="L63" s="20"/>
      <c r="M63" s="70" t="s">
        <v>55</v>
      </c>
      <c r="N63" s="51">
        <v>18.306999999999999</v>
      </c>
      <c r="O63" s="51"/>
      <c r="P63" s="20"/>
      <c r="Q63" s="20"/>
      <c r="R63" s="20"/>
      <c r="S63" s="20"/>
      <c r="T63" s="20"/>
      <c r="U63" s="20"/>
      <c r="V63" s="20"/>
      <c r="W63" s="20"/>
      <c r="X63" s="20"/>
      <c r="Y63" s="75"/>
      <c r="Z63" s="75"/>
    </row>
    <row r="64" spans="1:43" s="3" customFormat="1">
      <c r="A64" s="19">
        <v>0.6430555555555556</v>
      </c>
      <c r="B64" s="19">
        <v>0.6430555555555556</v>
      </c>
      <c r="C64" s="19">
        <v>0.6430555555555556</v>
      </c>
      <c r="D64" s="20" t="s">
        <v>46</v>
      </c>
      <c r="E64" s="20" t="s">
        <v>47</v>
      </c>
      <c r="F64" s="19">
        <f t="shared" si="0"/>
        <v>0</v>
      </c>
      <c r="G64" s="21">
        <f t="shared" si="12"/>
        <v>926</v>
      </c>
      <c r="H64" s="19">
        <f t="shared" si="2"/>
        <v>0</v>
      </c>
      <c r="I64" s="27">
        <f>HOUR(H64)*60+MINUTE(H64)</f>
        <v>0</v>
      </c>
      <c r="J64" s="21">
        <f t="shared" si="3"/>
        <v>8</v>
      </c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</row>
    <row r="65" spans="1:31" s="3" customFormat="1">
      <c r="A65" s="19">
        <v>0.64444444444444449</v>
      </c>
      <c r="B65" s="19">
        <v>0.64444444444444449</v>
      </c>
      <c r="C65" s="19">
        <v>0.64722222222222225</v>
      </c>
      <c r="D65" s="20" t="s">
        <v>46</v>
      </c>
      <c r="E65" s="20" t="s">
        <v>47</v>
      </c>
      <c r="F65" s="19">
        <f t="shared" si="0"/>
        <v>2.7777777777777679E-3</v>
      </c>
      <c r="G65" s="21">
        <f t="shared" si="12"/>
        <v>928</v>
      </c>
      <c r="H65" s="19">
        <f t="shared" si="2"/>
        <v>2.7777777777777679E-3</v>
      </c>
      <c r="I65" s="27">
        <f>HOUR(H65)*60+MINUTE(H65)</f>
        <v>4</v>
      </c>
      <c r="J65" s="21">
        <f t="shared" si="3"/>
        <v>2</v>
      </c>
      <c r="K65" s="28"/>
      <c r="L65" s="20"/>
      <c r="M65" s="20"/>
      <c r="N65" s="54" t="s">
        <v>56</v>
      </c>
      <c r="O65" s="54" t="s">
        <v>57</v>
      </c>
      <c r="P65" s="20"/>
      <c r="Q65" s="20"/>
      <c r="R65" s="20"/>
      <c r="S65" s="20"/>
      <c r="T65" s="20"/>
      <c r="U65" s="20"/>
      <c r="V65" s="20"/>
      <c r="W65" s="20"/>
      <c r="X65" s="20"/>
      <c r="Y65" s="75"/>
      <c r="Z65" s="75"/>
    </row>
    <row r="66" spans="1:31" s="6" customFormat="1">
      <c r="A66" s="22">
        <v>0.64583333333333337</v>
      </c>
      <c r="B66" s="22">
        <v>0.64583333333333337</v>
      </c>
      <c r="C66" s="22">
        <v>0.64583333333333337</v>
      </c>
      <c r="D66" s="23" t="s">
        <v>48</v>
      </c>
      <c r="E66" s="23" t="s">
        <v>47</v>
      </c>
      <c r="F66" s="22">
        <f t="shared" si="0"/>
        <v>0</v>
      </c>
      <c r="G66" s="24">
        <f t="shared" si="12"/>
        <v>930</v>
      </c>
      <c r="H66" s="22">
        <f t="shared" si="2"/>
        <v>0</v>
      </c>
      <c r="I66" s="27">
        <f>HOUR(H66)*60+MINUTE(H66)</f>
        <v>0</v>
      </c>
      <c r="J66" s="24">
        <f t="shared" si="3"/>
        <v>2</v>
      </c>
      <c r="K66" s="28"/>
      <c r="L66" s="71" t="s">
        <v>16</v>
      </c>
      <c r="M66" s="72"/>
      <c r="N66" s="73" t="s">
        <v>18</v>
      </c>
      <c r="O66" s="72"/>
      <c r="P66" s="72" t="s">
        <v>20</v>
      </c>
      <c r="Q66" s="72" t="s">
        <v>21</v>
      </c>
      <c r="R66" s="72" t="s">
        <v>22</v>
      </c>
      <c r="S66" s="72" t="s">
        <v>23</v>
      </c>
      <c r="T66" s="72" t="s">
        <v>24</v>
      </c>
      <c r="U66" s="72" t="s">
        <v>25</v>
      </c>
      <c r="V66" s="72" t="s">
        <v>26</v>
      </c>
      <c r="W66" s="72" t="s">
        <v>27</v>
      </c>
      <c r="X66" s="74" t="s">
        <v>28</v>
      </c>
      <c r="Y66" s="75"/>
      <c r="Z66" s="75"/>
    </row>
    <row r="67" spans="1:31" s="3" customFormat="1">
      <c r="A67" s="19">
        <v>0.6479166666666667</v>
      </c>
      <c r="B67" s="19">
        <v>0.6479166666666667</v>
      </c>
      <c r="C67" s="19">
        <v>0.65555555555555556</v>
      </c>
      <c r="D67" s="20" t="s">
        <v>46</v>
      </c>
      <c r="E67" s="20" t="s">
        <v>47</v>
      </c>
      <c r="F67" s="19">
        <f t="shared" ref="F67:F130" si="29">C67-B67</f>
        <v>7.6388888888888618E-3</v>
      </c>
      <c r="G67" s="21">
        <f t="shared" ref="G67:G130" si="30">HOUR(A67)*60+MINUTE(A67)</f>
        <v>933</v>
      </c>
      <c r="H67" s="19">
        <f t="shared" ref="H67:H130" si="31">C67-B67</f>
        <v>7.6388888888888618E-3</v>
      </c>
      <c r="I67" s="27">
        <f>HOUR(H67)*60+MINUTE(H67)</f>
        <v>11</v>
      </c>
      <c r="J67" s="21">
        <f t="shared" si="3"/>
        <v>3</v>
      </c>
      <c r="K67" s="28"/>
      <c r="L67" s="55" t="s">
        <v>29</v>
      </c>
      <c r="M67" s="55"/>
      <c r="N67" s="56" cm="1">
        <f t="array" ref="N67:N76">FREQUENCY(I179:I262,Q67:Q75)</f>
        <v>40</v>
      </c>
      <c r="O67" s="55"/>
      <c r="P67" s="55">
        <v>0</v>
      </c>
      <c r="Q67" s="55">
        <v>2</v>
      </c>
      <c r="R67" s="55">
        <f>_xlfn.EXPON.DIST(P67,0.260869565,TRUE)</f>
        <v>0</v>
      </c>
      <c r="S67" s="55">
        <f>_xlfn.EXPON.DIST(Q67,0.260869565,TRUE)</f>
        <v>0.40651250198593414</v>
      </c>
      <c r="T67" s="55">
        <f>S67-R67</f>
        <v>0.40651250198593414</v>
      </c>
      <c r="U67" s="55">
        <f>T67*84</f>
        <v>34.147050166818467</v>
      </c>
      <c r="V67" s="57">
        <f>N67-U67</f>
        <v>5.8529498331815333</v>
      </c>
      <c r="W67" s="57">
        <f>V67^2</f>
        <v>34.257021749739735</v>
      </c>
      <c r="X67" s="55">
        <f>W67/U67</f>
        <v>1.003220529515259</v>
      </c>
      <c r="Y67" s="75"/>
      <c r="Z67" s="75"/>
    </row>
    <row r="68" spans="1:31" s="6" customFormat="1">
      <c r="A68" s="22">
        <v>0.64861111111111114</v>
      </c>
      <c r="B68" s="22">
        <v>0.64861111111111114</v>
      </c>
      <c r="C68" s="22">
        <v>0.65694444444444444</v>
      </c>
      <c r="D68" s="23" t="s">
        <v>48</v>
      </c>
      <c r="E68" s="23" t="s">
        <v>47</v>
      </c>
      <c r="F68" s="22">
        <f t="shared" si="29"/>
        <v>8.3333333333333037E-3</v>
      </c>
      <c r="G68" s="24">
        <f t="shared" si="30"/>
        <v>934</v>
      </c>
      <c r="H68" s="22">
        <f t="shared" si="31"/>
        <v>8.3333333333333037E-3</v>
      </c>
      <c r="I68" s="27">
        <f>HOUR(H68)*60+MINUTE(H68)</f>
        <v>12</v>
      </c>
      <c r="J68" s="24">
        <f t="shared" ref="J68:J131" si="32">G68-G67</f>
        <v>1</v>
      </c>
      <c r="K68" s="28"/>
      <c r="L68" s="58" t="s">
        <v>30</v>
      </c>
      <c r="M68" s="55"/>
      <c r="N68" s="57">
        <v>18</v>
      </c>
      <c r="O68" s="55"/>
      <c r="P68" s="55">
        <v>2</v>
      </c>
      <c r="Q68" s="55">
        <v>4</v>
      </c>
      <c r="R68" s="55">
        <f t="shared" ref="R68:R75" si="33">_xlfn.EXPON.DIST(P68,0.260869565,TRUE)</f>
        <v>0.40651250198593414</v>
      </c>
      <c r="S68" s="55">
        <f t="shared" ref="S68:S75" si="34">_xlfn.EXPON.DIST(Q68,0.260869565,TRUE)</f>
        <v>0.64777258970100404</v>
      </c>
      <c r="T68" s="55">
        <f t="shared" ref="T68:T75" si="35">S68-R68</f>
        <v>0.2412600877150699</v>
      </c>
      <c r="U68" s="55">
        <f t="shared" ref="U68:U75" si="36">T68*84</f>
        <v>20.26584736806587</v>
      </c>
      <c r="V68" s="57">
        <f t="shared" ref="V68:V75" si="37">N68-U68</f>
        <v>-2.2658473680658702</v>
      </c>
      <c r="W68" s="57">
        <f t="shared" ref="W68:W75" si="38">V68^2</f>
        <v>5.1340642953710312</v>
      </c>
      <c r="X68" s="55">
        <f t="shared" ref="X68:X75" si="39">W68/U68</f>
        <v>0.25333578222152647</v>
      </c>
      <c r="Y68" s="75"/>
      <c r="Z68" s="75"/>
    </row>
    <row r="69" spans="1:31" s="3" customFormat="1">
      <c r="A69" s="19">
        <v>0.65347222222222223</v>
      </c>
      <c r="B69" s="19">
        <v>0.65555555555555556</v>
      </c>
      <c r="C69" s="19">
        <v>0.66249999999999998</v>
      </c>
      <c r="D69" s="20" t="s">
        <v>46</v>
      </c>
      <c r="E69" s="20" t="s">
        <v>47</v>
      </c>
      <c r="F69" s="19">
        <f t="shared" si="29"/>
        <v>6.9444444444444198E-3</v>
      </c>
      <c r="G69" s="21">
        <f t="shared" si="30"/>
        <v>941</v>
      </c>
      <c r="H69" s="19">
        <f t="shared" si="31"/>
        <v>6.9444444444444198E-3</v>
      </c>
      <c r="I69" s="27">
        <f>HOUR(H69)*60+MINUTE(H69)</f>
        <v>10</v>
      </c>
      <c r="J69" s="21">
        <f t="shared" si="32"/>
        <v>7</v>
      </c>
      <c r="K69" s="28"/>
      <c r="L69" s="55" t="s">
        <v>31</v>
      </c>
      <c r="M69" s="55"/>
      <c r="N69" s="57">
        <v>10</v>
      </c>
      <c r="O69" s="55"/>
      <c r="P69" s="55">
        <v>4</v>
      </c>
      <c r="Q69" s="55">
        <v>6</v>
      </c>
      <c r="R69" s="55">
        <f t="shared" si="33"/>
        <v>0.64777258970100404</v>
      </c>
      <c r="S69" s="55">
        <f t="shared" si="34"/>
        <v>0.79095743552967512</v>
      </c>
      <c r="T69" s="55">
        <f t="shared" si="35"/>
        <v>0.14318484582867108</v>
      </c>
      <c r="U69" s="55">
        <f t="shared" si="36"/>
        <v>12.02752704960837</v>
      </c>
      <c r="V69" s="57">
        <f t="shared" si="37"/>
        <v>-2.0275270496083699</v>
      </c>
      <c r="W69" s="57">
        <f t="shared" si="38"/>
        <v>4.1108659368936218</v>
      </c>
      <c r="X69" s="55">
        <f t="shared" si="39"/>
        <v>0.34178812651495771</v>
      </c>
      <c r="Y69" s="75"/>
      <c r="Z69" s="75"/>
    </row>
    <row r="70" spans="1:31" s="6" customFormat="1">
      <c r="A70" s="22">
        <v>0.65347222222222223</v>
      </c>
      <c r="B70" s="22">
        <v>0.65694444444444444</v>
      </c>
      <c r="C70" s="22">
        <v>0.65833333333333333</v>
      </c>
      <c r="D70" s="23" t="s">
        <v>48</v>
      </c>
      <c r="E70" s="23" t="s">
        <v>47</v>
      </c>
      <c r="F70" s="22">
        <f t="shared" si="29"/>
        <v>1.388888888888884E-3</v>
      </c>
      <c r="G70" s="24">
        <f t="shared" si="30"/>
        <v>941</v>
      </c>
      <c r="H70" s="22">
        <f t="shared" si="31"/>
        <v>1.388888888888884E-3</v>
      </c>
      <c r="I70" s="27">
        <f>HOUR(H70)*60+MINUTE(H70)</f>
        <v>2</v>
      </c>
      <c r="J70" s="24">
        <f t="shared" si="32"/>
        <v>0</v>
      </c>
      <c r="K70" s="28"/>
      <c r="L70" s="55" t="s">
        <v>32</v>
      </c>
      <c r="M70" s="55"/>
      <c r="N70" s="57">
        <v>7</v>
      </c>
      <c r="O70" s="55"/>
      <c r="P70" s="55">
        <v>6</v>
      </c>
      <c r="Q70" s="55">
        <v>8</v>
      </c>
      <c r="R70" s="55">
        <f t="shared" si="33"/>
        <v>0.79095743552967512</v>
      </c>
      <c r="S70" s="55">
        <f t="shared" si="34"/>
        <v>0.87593585143406283</v>
      </c>
      <c r="T70" s="55">
        <f t="shared" si="35"/>
        <v>8.4978415904387705E-2</v>
      </c>
      <c r="U70" s="55">
        <f t="shared" si="36"/>
        <v>7.1381869359685677</v>
      </c>
      <c r="V70" s="57">
        <f t="shared" si="37"/>
        <v>-0.13818693596856768</v>
      </c>
      <c r="W70" s="57">
        <f t="shared" si="38"/>
        <v>1.9095629272381023E-2</v>
      </c>
      <c r="X70" s="55">
        <f t="shared" si="39"/>
        <v>2.6751371803055719E-3</v>
      </c>
      <c r="Y70" s="75"/>
      <c r="Z70" s="75"/>
    </row>
    <row r="71" spans="1:31" s="3" customFormat="1">
      <c r="A71" s="19">
        <v>0.66736111111111107</v>
      </c>
      <c r="B71" s="19">
        <v>0.66736111111111107</v>
      </c>
      <c r="C71" s="19">
        <v>0.66736111111111107</v>
      </c>
      <c r="D71" s="20" t="s">
        <v>46</v>
      </c>
      <c r="E71" s="20" t="s">
        <v>47</v>
      </c>
      <c r="F71" s="19">
        <f t="shared" si="29"/>
        <v>0</v>
      </c>
      <c r="G71" s="21">
        <f t="shared" si="30"/>
        <v>961</v>
      </c>
      <c r="H71" s="19">
        <f t="shared" si="31"/>
        <v>0</v>
      </c>
      <c r="I71" s="27">
        <f>HOUR(H71)*60+MINUTE(H71)</f>
        <v>0</v>
      </c>
      <c r="J71" s="21">
        <f t="shared" si="32"/>
        <v>20</v>
      </c>
      <c r="K71" s="28"/>
      <c r="L71" s="58" t="s">
        <v>33</v>
      </c>
      <c r="M71" s="55"/>
      <c r="N71" s="57">
        <v>2</v>
      </c>
      <c r="O71" s="55"/>
      <c r="P71" s="55">
        <v>8</v>
      </c>
      <c r="Q71" s="55">
        <v>10</v>
      </c>
      <c r="R71" s="55">
        <f t="shared" si="33"/>
        <v>0.87593585143406283</v>
      </c>
      <c r="S71" s="55">
        <f t="shared" si="34"/>
        <v>0.92636947887435661</v>
      </c>
      <c r="T71" s="55">
        <f t="shared" si="35"/>
        <v>5.0433627440293782E-2</v>
      </c>
      <c r="U71" s="55">
        <f t="shared" si="36"/>
        <v>4.2364247049846782</v>
      </c>
      <c r="V71" s="57">
        <f t="shared" si="37"/>
        <v>-2.2364247049846782</v>
      </c>
      <c r="W71" s="57">
        <f t="shared" si="38"/>
        <v>5.0015954610658051</v>
      </c>
      <c r="X71" s="55">
        <f t="shared" si="39"/>
        <v>1.1806171027141847</v>
      </c>
      <c r="Y71" s="75"/>
      <c r="Z71" s="75"/>
    </row>
    <row r="72" spans="1:31" s="3" customFormat="1">
      <c r="A72" s="19">
        <v>0.67222222222222228</v>
      </c>
      <c r="B72" s="19">
        <v>0.67222222222222228</v>
      </c>
      <c r="C72" s="19">
        <v>0.6791666666666667</v>
      </c>
      <c r="D72" s="20" t="s">
        <v>46</v>
      </c>
      <c r="E72" s="20" t="s">
        <v>47</v>
      </c>
      <c r="F72" s="19">
        <f t="shared" si="29"/>
        <v>6.9444444444444198E-3</v>
      </c>
      <c r="G72" s="21">
        <f t="shared" si="30"/>
        <v>968</v>
      </c>
      <c r="H72" s="19">
        <f t="shared" si="31"/>
        <v>6.9444444444444198E-3</v>
      </c>
      <c r="I72" s="27">
        <f>HOUR(H72)*60+MINUTE(H72)</f>
        <v>10</v>
      </c>
      <c r="J72" s="21">
        <f t="shared" si="32"/>
        <v>7</v>
      </c>
      <c r="K72" s="28"/>
      <c r="L72" s="55" t="s">
        <v>34</v>
      </c>
      <c r="M72" s="55"/>
      <c r="N72" s="57">
        <v>3</v>
      </c>
      <c r="O72" s="55"/>
      <c r="P72" s="55">
        <v>10</v>
      </c>
      <c r="Q72" s="55">
        <v>12</v>
      </c>
      <c r="R72" s="55">
        <f t="shared" si="33"/>
        <v>0.92636947887435661</v>
      </c>
      <c r="S72" s="55">
        <f t="shared" si="34"/>
        <v>0.95630120623967008</v>
      </c>
      <c r="T72" s="55">
        <f t="shared" si="35"/>
        <v>2.9931727365313465E-2</v>
      </c>
      <c r="U72" s="55">
        <f t="shared" si="36"/>
        <v>2.5142650986863311</v>
      </c>
      <c r="V72" s="57">
        <f t="shared" si="37"/>
        <v>0.48573490131366892</v>
      </c>
      <c r="W72" s="57">
        <f t="shared" si="38"/>
        <v>0.23593839435419969</v>
      </c>
      <c r="X72" s="55">
        <f t="shared" si="39"/>
        <v>9.3839903547750098E-2</v>
      </c>
      <c r="Y72" s="75"/>
      <c r="Z72" s="75"/>
    </row>
    <row r="73" spans="1:31" s="6" customFormat="1">
      <c r="A73" s="22">
        <v>0.67291666666666672</v>
      </c>
      <c r="B73" s="22">
        <v>0.67291666666666672</v>
      </c>
      <c r="C73" s="22">
        <v>0.6743055555555556</v>
      </c>
      <c r="D73" s="23" t="s">
        <v>48</v>
      </c>
      <c r="E73" s="23" t="s">
        <v>47</v>
      </c>
      <c r="F73" s="22">
        <f t="shared" si="29"/>
        <v>1.388888888888884E-3</v>
      </c>
      <c r="G73" s="24">
        <f t="shared" si="30"/>
        <v>969</v>
      </c>
      <c r="H73" s="22">
        <f t="shared" si="31"/>
        <v>1.388888888888884E-3</v>
      </c>
      <c r="I73" s="27">
        <f>HOUR(H73)*60+MINUTE(H73)</f>
        <v>2</v>
      </c>
      <c r="J73" s="24">
        <f t="shared" si="32"/>
        <v>1</v>
      </c>
      <c r="K73" s="28"/>
      <c r="L73" s="59" t="s">
        <v>35</v>
      </c>
      <c r="M73" s="55"/>
      <c r="N73" s="57">
        <v>3</v>
      </c>
      <c r="O73" s="55"/>
      <c r="P73" s="59">
        <v>12</v>
      </c>
      <c r="Q73" s="59">
        <v>14</v>
      </c>
      <c r="R73" s="55">
        <f t="shared" si="33"/>
        <v>0.95630120623967008</v>
      </c>
      <c r="S73" s="55">
        <f t="shared" si="34"/>
        <v>0.97406531222494908</v>
      </c>
      <c r="T73" s="55">
        <f t="shared" si="35"/>
        <v>1.7764105985279E-2</v>
      </c>
      <c r="U73" s="55">
        <f t="shared" si="36"/>
        <v>1.492184902763436</v>
      </c>
      <c r="V73" s="57">
        <f t="shared" si="37"/>
        <v>1.507815097236564</v>
      </c>
      <c r="W73" s="57">
        <f t="shared" si="38"/>
        <v>2.2735063674545088</v>
      </c>
      <c r="X73" s="55">
        <f t="shared" si="39"/>
        <v>1.5236090133629638</v>
      </c>
      <c r="Y73" s="75"/>
      <c r="Z73" s="75"/>
    </row>
    <row r="74" spans="1:31" s="6" customFormat="1">
      <c r="A74" s="22">
        <v>0.67291666666666672</v>
      </c>
      <c r="B74" s="22">
        <v>0.6743055555555556</v>
      </c>
      <c r="C74" s="22">
        <v>0.68333333333333335</v>
      </c>
      <c r="D74" s="23" t="s">
        <v>48</v>
      </c>
      <c r="E74" s="23" t="s">
        <v>47</v>
      </c>
      <c r="F74" s="22">
        <f t="shared" si="29"/>
        <v>9.0277777777777457E-3</v>
      </c>
      <c r="G74" s="24">
        <f t="shared" si="30"/>
        <v>969</v>
      </c>
      <c r="H74" s="22">
        <f t="shared" si="31"/>
        <v>9.0277777777777457E-3</v>
      </c>
      <c r="I74" s="27">
        <f>HOUR(H74)*60+MINUTE(H74)</f>
        <v>13</v>
      </c>
      <c r="J74" s="24">
        <f t="shared" si="32"/>
        <v>0</v>
      </c>
      <c r="K74" s="28"/>
      <c r="L74" s="59" t="s">
        <v>58</v>
      </c>
      <c r="M74" s="55"/>
      <c r="N74" s="57">
        <v>0</v>
      </c>
      <c r="O74" s="55"/>
      <c r="P74" s="59">
        <v>14</v>
      </c>
      <c r="Q74" s="59">
        <v>16</v>
      </c>
      <c r="R74" s="55">
        <f t="shared" si="33"/>
        <v>0.97406531222494908</v>
      </c>
      <c r="S74" s="55">
        <f t="shared" si="34"/>
        <v>0.98460808704060909</v>
      </c>
      <c r="T74" s="55">
        <f t="shared" si="35"/>
        <v>1.0542774815660017E-2</v>
      </c>
      <c r="U74" s="55">
        <f t="shared" si="36"/>
        <v>0.88559308451544139</v>
      </c>
      <c r="V74" s="57">
        <f t="shared" si="37"/>
        <v>-0.88559308451544139</v>
      </c>
      <c r="W74" s="57">
        <f t="shared" si="38"/>
        <v>0.78427511134157368</v>
      </c>
      <c r="X74" s="55">
        <f t="shared" si="39"/>
        <v>0.88559308451544139</v>
      </c>
      <c r="Y74" s="75"/>
      <c r="Z74" s="75"/>
    </row>
    <row r="75" spans="1:31" s="3" customFormat="1">
      <c r="A75" s="19">
        <v>0.67777777777777781</v>
      </c>
      <c r="B75" s="19">
        <v>0.6791666666666667</v>
      </c>
      <c r="C75" s="19">
        <v>0.68819444444444444</v>
      </c>
      <c r="D75" s="20" t="s">
        <v>46</v>
      </c>
      <c r="E75" s="20" t="s">
        <v>47</v>
      </c>
      <c r="F75" s="19">
        <f t="shared" si="29"/>
        <v>9.0277777777777457E-3</v>
      </c>
      <c r="G75" s="21">
        <f t="shared" si="30"/>
        <v>976</v>
      </c>
      <c r="H75" s="19">
        <f t="shared" si="31"/>
        <v>9.0277777777777457E-3</v>
      </c>
      <c r="I75" s="27">
        <f>HOUR(H75)*60+MINUTE(H75)</f>
        <v>13</v>
      </c>
      <c r="J75" s="21">
        <f t="shared" si="32"/>
        <v>7</v>
      </c>
      <c r="K75" s="28"/>
      <c r="L75" s="63" t="s">
        <v>50</v>
      </c>
      <c r="M75" s="64"/>
      <c r="N75" s="65">
        <v>1</v>
      </c>
      <c r="O75" s="64"/>
      <c r="P75" s="63">
        <v>16</v>
      </c>
      <c r="Q75" s="63">
        <v>18</v>
      </c>
      <c r="R75" s="55">
        <f t="shared" si="33"/>
        <v>0.98460808704060909</v>
      </c>
      <c r="S75" s="55">
        <f t="shared" si="34"/>
        <v>0.99086509208808082</v>
      </c>
      <c r="T75" s="64">
        <f t="shared" si="35"/>
        <v>6.2570050474717309E-3</v>
      </c>
      <c r="U75" s="64">
        <f t="shared" si="36"/>
        <v>0.5255884239876254</v>
      </c>
      <c r="V75" s="65">
        <f t="shared" si="37"/>
        <v>0.4744115760123746</v>
      </c>
      <c r="W75" s="65">
        <f t="shared" si="38"/>
        <v>0.2250663434545451</v>
      </c>
      <c r="X75" s="64">
        <f t="shared" si="39"/>
        <v>0.42821784724057038</v>
      </c>
      <c r="Y75" s="75"/>
      <c r="Z75" s="75"/>
    </row>
    <row r="76" spans="1:31" s="6" customFormat="1">
      <c r="A76" s="22">
        <v>0.68194444444444446</v>
      </c>
      <c r="B76" s="22">
        <v>0.68333333333333335</v>
      </c>
      <c r="C76" s="22">
        <v>0.68888888888888888</v>
      </c>
      <c r="D76" s="23" t="s">
        <v>48</v>
      </c>
      <c r="E76" s="23" t="s">
        <v>47</v>
      </c>
      <c r="F76" s="22">
        <f t="shared" si="29"/>
        <v>5.5555555555555358E-3</v>
      </c>
      <c r="G76" s="24">
        <f t="shared" si="30"/>
        <v>982</v>
      </c>
      <c r="H76" s="22">
        <f t="shared" si="31"/>
        <v>5.5555555555555358E-3</v>
      </c>
      <c r="I76" s="27">
        <f>HOUR(H76)*60+MINUTE(H76)</f>
        <v>8</v>
      </c>
      <c r="J76" s="24">
        <f t="shared" si="32"/>
        <v>6</v>
      </c>
      <c r="K76" s="28"/>
      <c r="L76" s="60"/>
      <c r="M76" s="61"/>
      <c r="N76" s="61">
        <v>0</v>
      </c>
      <c r="O76" s="61"/>
      <c r="P76" s="61"/>
      <c r="Q76" s="61"/>
      <c r="R76" s="61"/>
      <c r="S76" s="61"/>
      <c r="T76" s="61"/>
      <c r="U76" s="61"/>
      <c r="V76" s="61"/>
      <c r="W76" s="61"/>
      <c r="X76" s="62"/>
      <c r="Y76" s="75"/>
      <c r="Z76" s="75"/>
    </row>
    <row r="77" spans="1:31" s="3" customFormat="1">
      <c r="A77" s="19">
        <v>0.68611111111111112</v>
      </c>
      <c r="B77" s="19">
        <v>0.68819444444444444</v>
      </c>
      <c r="C77" s="19">
        <v>0.68958333333333333</v>
      </c>
      <c r="D77" s="20" t="s">
        <v>46</v>
      </c>
      <c r="E77" s="20" t="s">
        <v>47</v>
      </c>
      <c r="F77" s="19">
        <f t="shared" si="29"/>
        <v>1.388888888888884E-3</v>
      </c>
      <c r="G77" s="21">
        <f t="shared" si="30"/>
        <v>988</v>
      </c>
      <c r="H77" s="19">
        <f t="shared" si="31"/>
        <v>1.388888888888884E-3</v>
      </c>
      <c r="I77" s="27">
        <f>HOUR(H77)*60+MINUTE(H77)</f>
        <v>2</v>
      </c>
      <c r="J77" s="21">
        <f t="shared" si="32"/>
        <v>6</v>
      </c>
      <c r="K77" s="28"/>
      <c r="L77" s="49" t="s">
        <v>36</v>
      </c>
      <c r="M77" s="49"/>
      <c r="N77" s="50">
        <f>SUM(N67:N75)</f>
        <v>84</v>
      </c>
      <c r="O77" s="50">
        <f>AVERAGE(I179:I262)</f>
        <v>3.8333333333333335</v>
      </c>
      <c r="P77" s="49"/>
      <c r="Q77" s="49"/>
      <c r="R77" s="49"/>
      <c r="S77" s="49"/>
      <c r="T77" s="49"/>
      <c r="U77" s="49"/>
      <c r="V77" s="49"/>
      <c r="W77" s="49"/>
      <c r="X77" s="49">
        <f>SUM(X67:X76)</f>
        <v>5.7128965268129592</v>
      </c>
      <c r="Y77" s="75"/>
      <c r="Z77" s="75"/>
    </row>
    <row r="78" spans="1:31" s="3" customFormat="1">
      <c r="A78" s="19">
        <v>0.69027777777777777</v>
      </c>
      <c r="B78" s="19">
        <v>0.69027777777777777</v>
      </c>
      <c r="C78" s="19">
        <v>0.69166666666666665</v>
      </c>
      <c r="D78" s="20" t="s">
        <v>46</v>
      </c>
      <c r="E78" s="20" t="s">
        <v>47</v>
      </c>
      <c r="F78" s="19">
        <f t="shared" si="29"/>
        <v>1.388888888888884E-3</v>
      </c>
      <c r="G78" s="21">
        <f t="shared" si="30"/>
        <v>994</v>
      </c>
      <c r="H78" s="19">
        <f t="shared" si="31"/>
        <v>1.388888888888884E-3</v>
      </c>
      <c r="I78" s="27">
        <f>HOUR(H78)*60+MINUTE(H78)</f>
        <v>2</v>
      </c>
      <c r="J78" s="21">
        <f t="shared" si="32"/>
        <v>6</v>
      </c>
      <c r="K78" s="28"/>
      <c r="L78" s="28"/>
      <c r="M78" s="75"/>
      <c r="N78" s="75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75"/>
      <c r="Z78" s="75"/>
      <c r="AA78" s="75"/>
      <c r="AB78" s="75"/>
      <c r="AC78" s="75"/>
      <c r="AD78" s="75"/>
      <c r="AE78" s="75"/>
    </row>
    <row r="79" spans="1:31" s="6" customFormat="1">
      <c r="A79" s="22">
        <v>0.69097222222222221</v>
      </c>
      <c r="B79" s="22">
        <v>0.69097222222222221</v>
      </c>
      <c r="C79" s="22">
        <v>0.6958333333333333</v>
      </c>
      <c r="D79" s="23" t="s">
        <v>48</v>
      </c>
      <c r="E79" s="23" t="s">
        <v>47</v>
      </c>
      <c r="F79" s="22">
        <f t="shared" si="29"/>
        <v>4.8611111111110938E-3</v>
      </c>
      <c r="G79" s="24">
        <f t="shared" si="30"/>
        <v>995</v>
      </c>
      <c r="H79" s="22">
        <f t="shared" si="31"/>
        <v>4.8611111111110938E-3</v>
      </c>
      <c r="I79" s="27">
        <f>HOUR(H79)*60+MINUTE(H79)</f>
        <v>7</v>
      </c>
      <c r="J79" s="24">
        <f t="shared" si="32"/>
        <v>1</v>
      </c>
      <c r="K79" s="28"/>
      <c r="L79" s="16" t="s">
        <v>37</v>
      </c>
      <c r="M79" s="122">
        <f>AVERAGE(I179:I262)</f>
        <v>3.8333333333333335</v>
      </c>
      <c r="N79" s="75"/>
      <c r="O79" s="206" t="s">
        <v>43</v>
      </c>
      <c r="P79" s="206"/>
      <c r="Q79" s="206"/>
      <c r="R79" s="206"/>
      <c r="S79" s="206"/>
      <c r="T79" s="206"/>
      <c r="U79" s="206"/>
      <c r="V79" s="206"/>
      <c r="W79" s="28"/>
      <c r="X79" s="28"/>
      <c r="Y79" s="75"/>
      <c r="Z79" s="75"/>
      <c r="AA79" s="75"/>
      <c r="AB79" s="75"/>
      <c r="AC79" s="75"/>
      <c r="AD79" s="75"/>
      <c r="AE79" s="75"/>
    </row>
    <row r="80" spans="1:31" s="3" customFormat="1">
      <c r="A80" s="19">
        <v>0.69236111111111109</v>
      </c>
      <c r="B80" s="19">
        <v>0.69236111111111109</v>
      </c>
      <c r="C80" s="19">
        <v>0.69305555555555554</v>
      </c>
      <c r="D80" s="20" t="s">
        <v>46</v>
      </c>
      <c r="E80" s="20" t="s">
        <v>47</v>
      </c>
      <c r="F80" s="19">
        <f t="shared" si="29"/>
        <v>6.9444444444444198E-4</v>
      </c>
      <c r="G80" s="21">
        <f t="shared" si="30"/>
        <v>997</v>
      </c>
      <c r="H80" s="19">
        <f t="shared" si="31"/>
        <v>6.9444444444444198E-4</v>
      </c>
      <c r="I80" s="27">
        <f>HOUR(H80)*60+MINUTE(H80)</f>
        <v>1</v>
      </c>
      <c r="J80" s="21">
        <f t="shared" si="32"/>
        <v>2</v>
      </c>
      <c r="K80" s="28"/>
      <c r="L80" s="16" t="s">
        <v>38</v>
      </c>
      <c r="M80" s="16">
        <f>1/M79</f>
        <v>0.2608695652173913</v>
      </c>
      <c r="N80" s="75">
        <v>0.2608695652173913</v>
      </c>
      <c r="O80" s="28"/>
      <c r="P80" s="28"/>
      <c r="Q80" s="28"/>
      <c r="R80" s="76"/>
      <c r="S80" s="28"/>
      <c r="T80" s="28"/>
      <c r="U80" s="28"/>
      <c r="V80" s="28"/>
      <c r="W80" s="28"/>
      <c r="X80" s="28"/>
      <c r="Y80" s="75"/>
      <c r="Z80" s="75"/>
      <c r="AA80" s="75"/>
      <c r="AB80" s="75"/>
      <c r="AC80" s="75"/>
      <c r="AD80" s="75"/>
      <c r="AE80" s="75"/>
    </row>
    <row r="81" spans="1:31" s="3" customFormat="1">
      <c r="A81" s="19">
        <v>0.69236111111111109</v>
      </c>
      <c r="B81" s="19">
        <v>0.69305555555555554</v>
      </c>
      <c r="C81" s="19">
        <v>0.69374999999999998</v>
      </c>
      <c r="D81" s="20" t="s">
        <v>46</v>
      </c>
      <c r="E81" s="20" t="s">
        <v>47</v>
      </c>
      <c r="F81" s="19">
        <f t="shared" si="29"/>
        <v>6.9444444444444198E-4</v>
      </c>
      <c r="G81" s="21">
        <f t="shared" si="30"/>
        <v>997</v>
      </c>
      <c r="H81" s="19">
        <f t="shared" si="31"/>
        <v>6.9444444444444198E-4</v>
      </c>
      <c r="I81" s="27">
        <f>HOUR(H81)*60+MINUTE(H81)</f>
        <v>1</v>
      </c>
      <c r="J81" s="21">
        <f t="shared" si="32"/>
        <v>0</v>
      </c>
      <c r="K81" s="28"/>
      <c r="L81" s="16" t="s">
        <v>40</v>
      </c>
      <c r="M81" s="16">
        <v>7</v>
      </c>
      <c r="N81" s="75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75"/>
      <c r="Z81" s="75"/>
      <c r="AA81" s="75"/>
      <c r="AB81" s="75"/>
      <c r="AC81" s="75"/>
      <c r="AD81" s="75"/>
      <c r="AE81" s="75"/>
    </row>
    <row r="82" spans="1:31" s="3" customFormat="1">
      <c r="A82" s="19">
        <v>0.69861111111111107</v>
      </c>
      <c r="B82" s="19">
        <v>0.69861111111111107</v>
      </c>
      <c r="C82" s="19">
        <v>0.7006944444444444</v>
      </c>
      <c r="D82" s="20" t="s">
        <v>46</v>
      </c>
      <c r="E82" s="20" t="s">
        <v>47</v>
      </c>
      <c r="F82" s="19">
        <f t="shared" si="29"/>
        <v>2.0833333333333259E-3</v>
      </c>
      <c r="G82" s="21">
        <f t="shared" si="30"/>
        <v>1006</v>
      </c>
      <c r="H82" s="19">
        <f t="shared" si="31"/>
        <v>2.0833333333333259E-3</v>
      </c>
      <c r="I82" s="27">
        <f>HOUR(H82)*60+MINUTE(H82)</f>
        <v>3</v>
      </c>
      <c r="J82" s="21">
        <f t="shared" si="32"/>
        <v>9</v>
      </c>
      <c r="K82" s="28"/>
      <c r="L82" s="16" t="s">
        <v>41</v>
      </c>
      <c r="M82" s="16">
        <v>14.067</v>
      </c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75"/>
      <c r="Z82" s="75"/>
      <c r="AA82" s="75"/>
      <c r="AB82" s="75"/>
      <c r="AC82" s="75"/>
      <c r="AD82" s="75"/>
      <c r="AE82" s="75"/>
    </row>
    <row r="83" spans="1:31" s="3" customFormat="1">
      <c r="A83" s="19">
        <v>0.70138888888888884</v>
      </c>
      <c r="B83" s="19">
        <v>0.70138888888888884</v>
      </c>
      <c r="C83" s="19">
        <v>0.70902777777777781</v>
      </c>
      <c r="D83" s="20" t="s">
        <v>46</v>
      </c>
      <c r="E83" s="20" t="s">
        <v>47</v>
      </c>
      <c r="F83" s="19">
        <f t="shared" si="29"/>
        <v>7.6388888888889728E-3</v>
      </c>
      <c r="G83" s="21">
        <f t="shared" si="30"/>
        <v>1010</v>
      </c>
      <c r="H83" s="19">
        <f t="shared" si="31"/>
        <v>7.6388888888889728E-3</v>
      </c>
      <c r="I83" s="27">
        <f>HOUR(H83)*60+MINUTE(H83)</f>
        <v>11</v>
      </c>
      <c r="J83" s="21">
        <f t="shared" si="32"/>
        <v>4</v>
      </c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75"/>
      <c r="Z83" s="75"/>
      <c r="AA83" s="75"/>
      <c r="AB83" s="75"/>
      <c r="AC83" s="75"/>
      <c r="AD83" s="75"/>
      <c r="AE83" s="75"/>
    </row>
    <row r="84" spans="1:31" s="6" customFormat="1">
      <c r="A84" s="22">
        <v>0.70277777777777772</v>
      </c>
      <c r="B84" s="22">
        <v>0.70277777777777772</v>
      </c>
      <c r="C84" s="22">
        <v>0.70625000000000004</v>
      </c>
      <c r="D84" s="23" t="s">
        <v>48</v>
      </c>
      <c r="E84" s="23" t="s">
        <v>47</v>
      </c>
      <c r="F84" s="22">
        <f t="shared" si="29"/>
        <v>3.4722222222223209E-3</v>
      </c>
      <c r="G84" s="24">
        <f t="shared" si="30"/>
        <v>1012</v>
      </c>
      <c r="H84" s="22">
        <f t="shared" si="31"/>
        <v>3.4722222222223209E-3</v>
      </c>
      <c r="I84" s="27">
        <f>HOUR(H84)*60+MINUTE(H84)</f>
        <v>5</v>
      </c>
      <c r="J84" s="24">
        <f t="shared" si="32"/>
        <v>2</v>
      </c>
      <c r="K84" s="28"/>
      <c r="L84" s="23"/>
      <c r="M84" s="54" t="s">
        <v>59</v>
      </c>
      <c r="N84" s="23"/>
      <c r="O84" s="54" t="s">
        <v>11</v>
      </c>
      <c r="P84" s="23"/>
      <c r="Q84" s="23"/>
      <c r="R84" s="23"/>
      <c r="S84" s="23"/>
      <c r="T84" s="23"/>
      <c r="U84" s="23"/>
      <c r="V84" s="23"/>
      <c r="W84" s="23"/>
      <c r="X84" s="23"/>
      <c r="Y84" s="75"/>
      <c r="Z84" s="75"/>
    </row>
    <row r="85" spans="1:31" s="6" customFormat="1">
      <c r="A85" s="22">
        <v>0.70347222222222228</v>
      </c>
      <c r="B85" s="22">
        <v>0.70625000000000004</v>
      </c>
      <c r="C85" s="22">
        <v>0.70833333333333337</v>
      </c>
      <c r="D85" s="23" t="s">
        <v>48</v>
      </c>
      <c r="E85" s="23" t="s">
        <v>47</v>
      </c>
      <c r="F85" s="22">
        <f t="shared" si="29"/>
        <v>2.0833333333333259E-3</v>
      </c>
      <c r="G85" s="24">
        <f t="shared" si="30"/>
        <v>1013</v>
      </c>
      <c r="H85" s="22">
        <f t="shared" si="31"/>
        <v>2.0833333333333259E-3</v>
      </c>
      <c r="I85" s="27">
        <f>HOUR(H85)*60+MINUTE(H85)</f>
        <v>3</v>
      </c>
      <c r="J85" s="24">
        <f t="shared" si="32"/>
        <v>1</v>
      </c>
      <c r="K85" s="28"/>
      <c r="L85" s="77" t="s">
        <v>16</v>
      </c>
      <c r="M85" s="78" t="s">
        <v>17</v>
      </c>
      <c r="N85" s="79" t="s">
        <v>18</v>
      </c>
      <c r="O85" s="78" t="s">
        <v>19</v>
      </c>
      <c r="P85" s="78" t="s">
        <v>20</v>
      </c>
      <c r="Q85" s="78" t="s">
        <v>21</v>
      </c>
      <c r="R85" s="78" t="s">
        <v>22</v>
      </c>
      <c r="S85" s="78" t="s">
        <v>23</v>
      </c>
      <c r="T85" s="78" t="s">
        <v>24</v>
      </c>
      <c r="U85" s="78" t="s">
        <v>25</v>
      </c>
      <c r="V85" s="78" t="s">
        <v>26</v>
      </c>
      <c r="W85" s="78" t="s">
        <v>27</v>
      </c>
      <c r="X85" s="80" t="s">
        <v>28</v>
      </c>
      <c r="Y85" s="75"/>
      <c r="Z85" s="75"/>
    </row>
    <row r="86" spans="1:31" s="6" customFormat="1">
      <c r="A86" s="22">
        <v>0.70416666666666672</v>
      </c>
      <c r="B86" s="22">
        <v>0.70833333333333337</v>
      </c>
      <c r="C86" s="22">
        <v>0.70902777777777781</v>
      </c>
      <c r="D86" s="23" t="s">
        <v>48</v>
      </c>
      <c r="E86" s="23" t="s">
        <v>47</v>
      </c>
      <c r="F86" s="22">
        <f t="shared" si="29"/>
        <v>6.9444444444444198E-4</v>
      </c>
      <c r="G86" s="24">
        <f t="shared" si="30"/>
        <v>1014</v>
      </c>
      <c r="H86" s="22">
        <f t="shared" si="31"/>
        <v>6.9444444444444198E-4</v>
      </c>
      <c r="I86" s="27">
        <f>HOUR(H86)*60+MINUTE(H86)</f>
        <v>1</v>
      </c>
      <c r="J86" s="24">
        <f t="shared" si="32"/>
        <v>1</v>
      </c>
      <c r="K86" s="28"/>
      <c r="L86" s="81" t="s">
        <v>60</v>
      </c>
      <c r="M86" s="55">
        <f>(P86+Q86)/2</f>
        <v>5</v>
      </c>
      <c r="N86" s="57" cm="1">
        <f t="array" ref="N86:N93">FREQUENCY(J268:J310,Q86:Q93)</f>
        <v>26</v>
      </c>
      <c r="O86" s="55">
        <f>M86*N86</f>
        <v>130</v>
      </c>
      <c r="P86" s="55">
        <v>0</v>
      </c>
      <c r="Q86" s="55">
        <v>10</v>
      </c>
      <c r="R86" s="55">
        <f>_xlfn.EXPON.DIST(P86,0.077192982,TRUE)</f>
        <v>0</v>
      </c>
      <c r="S86" s="55">
        <f>_xlfn.EXPON.DIST(Q86,0.077192982,TRUE)</f>
        <v>0.53787960194476303</v>
      </c>
      <c r="T86" s="55">
        <f>S86-R86</f>
        <v>0.53787960194476303</v>
      </c>
      <c r="U86" s="55">
        <f>T86*44</f>
        <v>23.666702485569573</v>
      </c>
      <c r="V86" s="57">
        <f>N86-U86</f>
        <v>2.3332975144304271</v>
      </c>
      <c r="W86" s="57">
        <f>V86^2</f>
        <v>5.444277290847209</v>
      </c>
      <c r="X86" s="82">
        <f>W86/U86</f>
        <v>0.23003953736971924</v>
      </c>
      <c r="Y86" s="75"/>
      <c r="Z86" s="75"/>
    </row>
    <row r="87" spans="1:31" s="6" customFormat="1">
      <c r="A87" s="22">
        <v>0.7055555555555556</v>
      </c>
      <c r="B87" s="22">
        <v>0.70902777777777781</v>
      </c>
      <c r="C87" s="22">
        <v>0.71180555555555558</v>
      </c>
      <c r="D87" s="23" t="s">
        <v>48</v>
      </c>
      <c r="E87" s="23" t="s">
        <v>47</v>
      </c>
      <c r="F87" s="22">
        <f t="shared" si="29"/>
        <v>2.7777777777777679E-3</v>
      </c>
      <c r="G87" s="24">
        <f t="shared" si="30"/>
        <v>1016</v>
      </c>
      <c r="H87" s="22">
        <f t="shared" si="31"/>
        <v>2.7777777777777679E-3</v>
      </c>
      <c r="I87" s="27">
        <f>HOUR(H87)*60+MINUTE(H87)</f>
        <v>4</v>
      </c>
      <c r="J87" s="24">
        <f t="shared" si="32"/>
        <v>2</v>
      </c>
      <c r="K87" s="28"/>
      <c r="L87" s="83" t="s">
        <v>61</v>
      </c>
      <c r="M87" s="55">
        <f>(P87+Q87)/2</f>
        <v>15</v>
      </c>
      <c r="N87" s="57">
        <v>12</v>
      </c>
      <c r="O87" s="55">
        <f t="shared" ref="O87:O93" si="40">M87*N87</f>
        <v>180</v>
      </c>
      <c r="P87" s="55">
        <v>10</v>
      </c>
      <c r="Q87" s="55">
        <v>20</v>
      </c>
      <c r="R87" s="55">
        <f t="shared" ref="R87:R93" si="41">_xlfn.EXPON.DIST(P87,0.077192982,TRUE)</f>
        <v>0.53787960194476303</v>
      </c>
      <c r="S87" s="55">
        <f t="shared" ref="S87:S93" si="42">_xlfn.EXPON.DIST(Q87,0.077192982,TRUE)</f>
        <v>0.78644473770126933</v>
      </c>
      <c r="T87" s="55">
        <f>S87-R87</f>
        <v>0.24856513575650629</v>
      </c>
      <c r="U87" s="55">
        <f t="shared" ref="U87:U93" si="43">T87*44</f>
        <v>10.936865973286277</v>
      </c>
      <c r="V87" s="57">
        <f>N87-U87</f>
        <v>1.0631340267137226</v>
      </c>
      <c r="W87" s="57">
        <f>V87^2</f>
        <v>1.1302539587565341</v>
      </c>
      <c r="X87" s="82">
        <f>W87/U87</f>
        <v>0.10334349543253282</v>
      </c>
      <c r="Y87" s="75"/>
      <c r="Z87" s="75"/>
    </row>
    <row r="88" spans="1:31" s="3" customFormat="1">
      <c r="A88" s="19">
        <v>0.70972222222222225</v>
      </c>
      <c r="B88" s="19">
        <v>0.70972222222222225</v>
      </c>
      <c r="C88" s="19">
        <v>0.72222222222222221</v>
      </c>
      <c r="D88" s="20" t="s">
        <v>46</v>
      </c>
      <c r="E88" s="20" t="s">
        <v>47</v>
      </c>
      <c r="F88" s="19">
        <f t="shared" si="29"/>
        <v>1.2499999999999956E-2</v>
      </c>
      <c r="G88" s="21">
        <f t="shared" si="30"/>
        <v>1022</v>
      </c>
      <c r="H88" s="19">
        <f t="shared" si="31"/>
        <v>1.2499999999999956E-2</v>
      </c>
      <c r="I88" s="27">
        <f>HOUR(H88)*60+MINUTE(H88)</f>
        <v>18</v>
      </c>
      <c r="J88" s="21">
        <f t="shared" si="32"/>
        <v>6</v>
      </c>
      <c r="K88" s="28"/>
      <c r="L88" s="81" t="s">
        <v>62</v>
      </c>
      <c r="M88" s="55">
        <f>(P88+Q88)/2</f>
        <v>25</v>
      </c>
      <c r="N88" s="57">
        <v>1</v>
      </c>
      <c r="O88" s="55">
        <f t="shared" si="40"/>
        <v>25</v>
      </c>
      <c r="P88" s="55">
        <v>20</v>
      </c>
      <c r="Q88" s="55">
        <v>30</v>
      </c>
      <c r="R88" s="55">
        <f t="shared" si="41"/>
        <v>0.78644473770126933</v>
      </c>
      <c r="S88" s="55">
        <f t="shared" si="42"/>
        <v>0.90131175717972001</v>
      </c>
      <c r="T88" s="55">
        <f>S88-R88</f>
        <v>0.11486701947845068</v>
      </c>
      <c r="U88" s="55">
        <f>T88*44</f>
        <v>5.05414885705183</v>
      </c>
      <c r="V88" s="57">
        <f>N88-U88</f>
        <v>-4.05414885705183</v>
      </c>
      <c r="W88" s="57">
        <f>V88^2</f>
        <v>16.43612295513466</v>
      </c>
      <c r="X88" s="82">
        <f>W88/U88</f>
        <v>3.2520061082494762</v>
      </c>
      <c r="Y88" s="75"/>
      <c r="Z88" s="75"/>
    </row>
    <row r="89" spans="1:31" s="6" customFormat="1">
      <c r="A89" s="22">
        <v>0.71250000000000002</v>
      </c>
      <c r="B89" s="22">
        <v>0.71250000000000002</v>
      </c>
      <c r="C89" s="22">
        <v>0.71319444444444446</v>
      </c>
      <c r="D89" s="23" t="s">
        <v>48</v>
      </c>
      <c r="E89" s="23" t="s">
        <v>47</v>
      </c>
      <c r="F89" s="22">
        <f t="shared" si="29"/>
        <v>6.9444444444444198E-4</v>
      </c>
      <c r="G89" s="24">
        <f t="shared" si="30"/>
        <v>1026</v>
      </c>
      <c r="H89" s="22">
        <f t="shared" si="31"/>
        <v>6.9444444444444198E-4</v>
      </c>
      <c r="I89" s="27">
        <f>HOUR(H89)*60+MINUTE(H89)</f>
        <v>1</v>
      </c>
      <c r="J89" s="24">
        <f t="shared" si="32"/>
        <v>4</v>
      </c>
      <c r="K89" s="28"/>
      <c r="L89" s="81" t="s">
        <v>63</v>
      </c>
      <c r="M89" s="55">
        <f>(P89+Q89)/2</f>
        <v>35</v>
      </c>
      <c r="N89" s="57">
        <v>1</v>
      </c>
      <c r="O89" s="55">
        <f t="shared" si="40"/>
        <v>35</v>
      </c>
      <c r="P89" s="55">
        <v>30</v>
      </c>
      <c r="Q89" s="55">
        <v>40</v>
      </c>
      <c r="R89" s="55">
        <f t="shared" si="41"/>
        <v>0.90131175717972001</v>
      </c>
      <c r="S89" s="55">
        <f>_xlfn.EXPON.DIST(Q89,0.077192982,TRUE)</f>
        <v>0.95439414994452032</v>
      </c>
      <c r="T89" s="55">
        <f>S89-R89</f>
        <v>5.3082392764800312E-2</v>
      </c>
      <c r="U89" s="55">
        <f t="shared" si="43"/>
        <v>2.3356252816512137</v>
      </c>
      <c r="V89" s="57">
        <f>N89-U89</f>
        <v>-1.3356252816512137</v>
      </c>
      <c r="W89" s="57">
        <f>V89^2</f>
        <v>1.783894892985884</v>
      </c>
      <c r="X89" s="82">
        <f>W89/U89</f>
        <v>0.76377615322125914</v>
      </c>
      <c r="Y89" s="75"/>
      <c r="Z89" s="75"/>
    </row>
    <row r="90" spans="1:31" s="6" customFormat="1">
      <c r="A90" s="22">
        <v>0.71944444444444444</v>
      </c>
      <c r="B90" s="22">
        <v>0.71944444444444444</v>
      </c>
      <c r="C90" s="22">
        <v>0.72152777777777777</v>
      </c>
      <c r="D90" s="23" t="s">
        <v>48</v>
      </c>
      <c r="E90" s="23" t="s">
        <v>47</v>
      </c>
      <c r="F90" s="22">
        <f t="shared" si="29"/>
        <v>2.0833333333333259E-3</v>
      </c>
      <c r="G90" s="24">
        <f t="shared" si="30"/>
        <v>1036</v>
      </c>
      <c r="H90" s="22">
        <f t="shared" si="31"/>
        <v>2.0833333333333259E-3</v>
      </c>
      <c r="I90" s="27">
        <f>HOUR(H90)*60+MINUTE(H90)</f>
        <v>3</v>
      </c>
      <c r="J90" s="24">
        <f t="shared" si="32"/>
        <v>10</v>
      </c>
      <c r="K90" s="28"/>
      <c r="L90" s="83" t="s">
        <v>64</v>
      </c>
      <c r="M90" s="55">
        <f>(P90+Q90)/2</f>
        <v>45</v>
      </c>
      <c r="N90" s="57">
        <v>0</v>
      </c>
      <c r="O90" s="55">
        <f t="shared" si="40"/>
        <v>0</v>
      </c>
      <c r="P90" s="55">
        <v>40</v>
      </c>
      <c r="Q90" s="55">
        <v>50</v>
      </c>
      <c r="R90" s="55">
        <f t="shared" si="41"/>
        <v>0.95439414994452032</v>
      </c>
      <c r="S90" s="55">
        <f t="shared" si="42"/>
        <v>0.97892460641871426</v>
      </c>
      <c r="T90" s="55">
        <f>S90-R90</f>
        <v>2.453045647419394E-2</v>
      </c>
      <c r="U90" s="55">
        <f t="shared" si="43"/>
        <v>1.0793400848645334</v>
      </c>
      <c r="V90" s="57">
        <f>N90-U90</f>
        <v>-1.0793400848645334</v>
      </c>
      <c r="W90" s="57">
        <f>V90^2</f>
        <v>1.164975018795378</v>
      </c>
      <c r="X90" s="82">
        <f>W90/U90</f>
        <v>1.0793400848645334</v>
      </c>
      <c r="Y90" s="75"/>
      <c r="Z90" s="75"/>
    </row>
    <row r="91" spans="1:31" s="6" customFormat="1">
      <c r="A91" s="22">
        <v>0.72152777777777777</v>
      </c>
      <c r="B91" s="22">
        <v>0.72152777777777777</v>
      </c>
      <c r="C91" s="22">
        <v>0.72777777777777775</v>
      </c>
      <c r="D91" s="23" t="s">
        <v>48</v>
      </c>
      <c r="E91" s="23" t="s">
        <v>47</v>
      </c>
      <c r="F91" s="22">
        <f t="shared" si="29"/>
        <v>6.2499999999999778E-3</v>
      </c>
      <c r="G91" s="24">
        <f t="shared" si="30"/>
        <v>1039</v>
      </c>
      <c r="H91" s="22">
        <f t="shared" si="31"/>
        <v>6.2499999999999778E-3</v>
      </c>
      <c r="I91" s="27">
        <f>HOUR(H91)*60+MINUTE(H91)</f>
        <v>9</v>
      </c>
      <c r="J91" s="24">
        <f t="shared" si="32"/>
        <v>3</v>
      </c>
      <c r="K91" s="28"/>
      <c r="L91" s="81" t="s">
        <v>65</v>
      </c>
      <c r="M91" s="55">
        <f>(P91+Q91)/2</f>
        <v>55</v>
      </c>
      <c r="N91" s="57">
        <v>1</v>
      </c>
      <c r="O91" s="55">
        <f t="shared" si="40"/>
        <v>55</v>
      </c>
      <c r="P91" s="55">
        <v>50</v>
      </c>
      <c r="Q91" s="55">
        <v>60</v>
      </c>
      <c r="R91" s="55">
        <f>_xlfn.EXPON.DIST(P91,0.077192982,TRUE)</f>
        <v>0.97892460641871426</v>
      </c>
      <c r="S91" s="55">
        <f t="shared" si="42"/>
        <v>0.99026063072904547</v>
      </c>
      <c r="T91" s="55">
        <f>S91-R91</f>
        <v>1.1336024310331205E-2</v>
      </c>
      <c r="U91" s="55">
        <f t="shared" si="43"/>
        <v>0.49878506965457303</v>
      </c>
      <c r="V91" s="57">
        <f>N91-U91</f>
        <v>0.50121493034542697</v>
      </c>
      <c r="W91" s="57">
        <f>V91^2</f>
        <v>0.25121640640117121</v>
      </c>
      <c r="X91" s="82">
        <f>W91/U91</f>
        <v>0.50365662824500301</v>
      </c>
      <c r="Y91" s="75"/>
      <c r="Z91" s="75"/>
    </row>
    <row r="92" spans="1:31" s="3" customFormat="1">
      <c r="A92" s="19">
        <v>0.72222222222222221</v>
      </c>
      <c r="B92" s="19">
        <v>0.72222222222222221</v>
      </c>
      <c r="C92" s="19">
        <v>0.72638888888888886</v>
      </c>
      <c r="D92" s="20" t="s">
        <v>46</v>
      </c>
      <c r="E92" s="20" t="s">
        <v>47</v>
      </c>
      <c r="F92" s="19">
        <f t="shared" si="29"/>
        <v>4.1666666666666519E-3</v>
      </c>
      <c r="G92" s="21">
        <f t="shared" si="30"/>
        <v>1040</v>
      </c>
      <c r="H92" s="19">
        <f t="shared" si="31"/>
        <v>4.1666666666666519E-3</v>
      </c>
      <c r="I92" s="27">
        <f>HOUR(H92)*60+MINUTE(H92)</f>
        <v>6</v>
      </c>
      <c r="J92" s="21">
        <f t="shared" si="32"/>
        <v>1</v>
      </c>
      <c r="K92" s="28"/>
      <c r="L92" s="81" t="s">
        <v>66</v>
      </c>
      <c r="M92" s="55">
        <f>(P92+Q92)/2</f>
        <v>65</v>
      </c>
      <c r="N92" s="57">
        <v>1</v>
      </c>
      <c r="O92" s="55">
        <f t="shared" si="40"/>
        <v>65</v>
      </c>
      <c r="P92" s="55">
        <v>60</v>
      </c>
      <c r="Q92" s="55">
        <v>70</v>
      </c>
      <c r="R92" s="55">
        <f t="shared" si="41"/>
        <v>0.99026063072904547</v>
      </c>
      <c r="S92" s="55">
        <f t="shared" si="42"/>
        <v>0.99549923879569957</v>
      </c>
      <c r="T92" s="55">
        <f>S92-R92</f>
        <v>5.2386080666541046E-3</v>
      </c>
      <c r="U92" s="55">
        <f t="shared" si="43"/>
        <v>0.2304987549327806</v>
      </c>
      <c r="V92" s="57">
        <f>N92-U92</f>
        <v>0.7695012450672194</v>
      </c>
      <c r="W92" s="57">
        <f>V92^2</f>
        <v>0.59213216616000086</v>
      </c>
      <c r="X92" s="82">
        <f>W92/U92</f>
        <v>2.5689169832291801</v>
      </c>
      <c r="Y92" s="75"/>
      <c r="Z92" s="75"/>
    </row>
    <row r="93" spans="1:31" s="3" customFormat="1">
      <c r="A93" s="19">
        <v>0.72569444444444442</v>
      </c>
      <c r="B93" s="19">
        <v>0.72638888888888886</v>
      </c>
      <c r="C93" s="19">
        <v>0.72916666666666663</v>
      </c>
      <c r="D93" s="20" t="s">
        <v>46</v>
      </c>
      <c r="E93" s="20" t="s">
        <v>47</v>
      </c>
      <c r="F93" s="19">
        <f t="shared" si="29"/>
        <v>2.7777777777777679E-3</v>
      </c>
      <c r="G93" s="21">
        <f t="shared" si="30"/>
        <v>1045</v>
      </c>
      <c r="H93" s="19">
        <f t="shared" si="31"/>
        <v>2.7777777777777679E-3</v>
      </c>
      <c r="I93" s="27">
        <f>HOUR(H93)*60+MINUTE(H93)</f>
        <v>4</v>
      </c>
      <c r="J93" s="21">
        <f t="shared" si="32"/>
        <v>5</v>
      </c>
      <c r="K93" s="28"/>
      <c r="L93" s="68"/>
      <c r="M93" s="66"/>
      <c r="N93" s="66">
        <v>1</v>
      </c>
      <c r="O93" s="66"/>
      <c r="P93" s="66"/>
      <c r="Q93" s="66"/>
      <c r="R93" s="66"/>
      <c r="S93" s="66"/>
      <c r="T93" s="66"/>
      <c r="U93" s="66"/>
      <c r="V93" s="67"/>
      <c r="W93" s="67"/>
      <c r="X93" s="69"/>
      <c r="Y93" s="75"/>
      <c r="Z93" s="75"/>
    </row>
    <row r="94" spans="1:31" s="3" customFormat="1">
      <c r="A94" s="19">
        <v>0.73055555555555551</v>
      </c>
      <c r="B94" s="19">
        <v>0.73055555555555551</v>
      </c>
      <c r="C94" s="19">
        <v>0.73402777777777772</v>
      </c>
      <c r="D94" s="20" t="s">
        <v>46</v>
      </c>
      <c r="E94" s="20" t="s">
        <v>47</v>
      </c>
      <c r="F94" s="19">
        <f t="shared" si="29"/>
        <v>3.4722222222222099E-3</v>
      </c>
      <c r="G94" s="21">
        <f t="shared" si="30"/>
        <v>1052</v>
      </c>
      <c r="H94" s="19">
        <f t="shared" si="31"/>
        <v>3.4722222222222099E-3</v>
      </c>
      <c r="I94" s="27">
        <f>HOUR(H94)*60+MINUTE(H94)</f>
        <v>5</v>
      </c>
      <c r="J94" s="21">
        <f t="shared" si="32"/>
        <v>7</v>
      </c>
      <c r="K94" s="28"/>
      <c r="L94" s="68"/>
      <c r="M94" s="66"/>
      <c r="N94" s="66"/>
      <c r="O94" s="66"/>
      <c r="P94" s="66"/>
      <c r="Q94" s="66"/>
      <c r="R94" s="66"/>
      <c r="S94" s="66"/>
      <c r="T94" s="66"/>
      <c r="U94" s="66"/>
      <c r="V94" s="67"/>
      <c r="W94" s="67"/>
      <c r="X94" s="69"/>
      <c r="Y94" s="75"/>
      <c r="Z94" s="75"/>
    </row>
    <row r="95" spans="1:31" s="6" customFormat="1">
      <c r="A95" s="22">
        <v>0.73263888888888884</v>
      </c>
      <c r="B95" s="22">
        <v>0.73263888888888884</v>
      </c>
      <c r="C95" s="22">
        <v>0.73402777777777772</v>
      </c>
      <c r="D95" s="23" t="s">
        <v>48</v>
      </c>
      <c r="E95" s="23" t="s">
        <v>47</v>
      </c>
      <c r="F95" s="22">
        <f t="shared" si="29"/>
        <v>1.388888888888884E-3</v>
      </c>
      <c r="G95" s="24">
        <f t="shared" si="30"/>
        <v>1055</v>
      </c>
      <c r="H95" s="22">
        <f t="shared" si="31"/>
        <v>1.388888888888884E-3</v>
      </c>
      <c r="I95" s="27">
        <f>HOUR(H95)*60+MINUTE(H95)</f>
        <v>2</v>
      </c>
      <c r="J95" s="24">
        <f t="shared" si="32"/>
        <v>3</v>
      </c>
      <c r="K95" s="28"/>
      <c r="L95" s="84" t="s">
        <v>36</v>
      </c>
      <c r="M95" s="85"/>
      <c r="N95" s="86">
        <f>SUM(N86:N93)</f>
        <v>43</v>
      </c>
      <c r="O95" s="86">
        <f>SUM(O86:O93)</f>
        <v>490</v>
      </c>
      <c r="P95" s="85"/>
      <c r="Q95" s="85"/>
      <c r="R95" s="85"/>
      <c r="S95" s="85"/>
      <c r="T95" s="85"/>
      <c r="U95" s="85"/>
      <c r="V95" s="86"/>
      <c r="W95" s="86"/>
      <c r="X95" s="87">
        <f>SUM(X86:X93)</f>
        <v>8.5010789906117044</v>
      </c>
      <c r="Y95" s="75"/>
      <c r="Z95" s="75"/>
    </row>
    <row r="96" spans="1:31" s="3" customFormat="1">
      <c r="A96" s="19">
        <v>0.73750000000000004</v>
      </c>
      <c r="B96" s="19">
        <v>0.73750000000000004</v>
      </c>
      <c r="C96" s="19">
        <v>0.73819444444444449</v>
      </c>
      <c r="D96" s="20" t="s">
        <v>46</v>
      </c>
      <c r="E96" s="20" t="s">
        <v>47</v>
      </c>
      <c r="F96" s="19">
        <f t="shared" si="29"/>
        <v>6.9444444444444198E-4</v>
      </c>
      <c r="G96" s="21">
        <f t="shared" si="30"/>
        <v>1062</v>
      </c>
      <c r="H96" s="19">
        <f t="shared" si="31"/>
        <v>6.9444444444444198E-4</v>
      </c>
      <c r="I96" s="27">
        <f>HOUR(H96)*60+MINUTE(H96)</f>
        <v>1</v>
      </c>
      <c r="J96" s="21">
        <f t="shared" si="32"/>
        <v>7</v>
      </c>
      <c r="K96" s="28"/>
      <c r="L96" s="68"/>
      <c r="M96" s="66"/>
      <c r="N96" s="75"/>
      <c r="O96" s="75"/>
      <c r="P96" s="89"/>
      <c r="Q96" s="89"/>
      <c r="R96" s="89"/>
      <c r="S96" s="89"/>
      <c r="T96" s="89"/>
      <c r="U96" s="89"/>
      <c r="V96" s="90"/>
      <c r="W96" s="90"/>
      <c r="X96" s="91"/>
      <c r="Y96" s="75"/>
      <c r="Z96" s="75"/>
    </row>
    <row r="97" spans="1:26" s="3" customFormat="1">
      <c r="A97" s="19">
        <v>0.73958333333333337</v>
      </c>
      <c r="B97" s="19">
        <v>0.73958333333333337</v>
      </c>
      <c r="C97" s="19">
        <v>0.74444444444444446</v>
      </c>
      <c r="D97" s="20" t="s">
        <v>46</v>
      </c>
      <c r="E97" s="20" t="s">
        <v>47</v>
      </c>
      <c r="F97" s="19">
        <f t="shared" si="29"/>
        <v>4.8611111111110938E-3</v>
      </c>
      <c r="G97" s="21">
        <f t="shared" si="30"/>
        <v>1065</v>
      </c>
      <c r="H97" s="19">
        <f t="shared" si="31"/>
        <v>4.8611111111110938E-3</v>
      </c>
      <c r="I97" s="27">
        <f>HOUR(H97)*60+MINUTE(H97)</f>
        <v>7</v>
      </c>
      <c r="J97" s="21">
        <f t="shared" si="32"/>
        <v>3</v>
      </c>
      <c r="K97" s="28"/>
      <c r="L97" s="85" t="s">
        <v>37</v>
      </c>
      <c r="M97" s="85">
        <f>O95/N95</f>
        <v>11.395348837209303</v>
      </c>
      <c r="N97" s="75"/>
      <c r="O97" s="75"/>
      <c r="P97" s="92"/>
      <c r="Q97" s="92"/>
      <c r="R97" s="92"/>
      <c r="S97" s="92"/>
      <c r="T97" s="92"/>
      <c r="U97" s="92"/>
      <c r="V97" s="93"/>
      <c r="W97" s="93"/>
      <c r="X97" s="94"/>
      <c r="Y97" s="75"/>
      <c r="Z97" s="75"/>
    </row>
    <row r="98" spans="1:26" s="6" customFormat="1">
      <c r="A98" s="22">
        <v>0.7416666666666667</v>
      </c>
      <c r="B98" s="22">
        <v>0.7416666666666667</v>
      </c>
      <c r="C98" s="22">
        <v>0.74652777777777779</v>
      </c>
      <c r="D98" s="23" t="s">
        <v>48</v>
      </c>
      <c r="E98" s="23" t="s">
        <v>47</v>
      </c>
      <c r="F98" s="22">
        <f t="shared" si="29"/>
        <v>4.8611111111110938E-3</v>
      </c>
      <c r="G98" s="24">
        <f t="shared" si="30"/>
        <v>1068</v>
      </c>
      <c r="H98" s="22">
        <f t="shared" si="31"/>
        <v>4.8611111111110938E-3</v>
      </c>
      <c r="I98" s="27">
        <f>HOUR(H98)*60+MINUTE(H98)</f>
        <v>7</v>
      </c>
      <c r="J98" s="24">
        <f t="shared" si="32"/>
        <v>3</v>
      </c>
      <c r="K98" s="28"/>
      <c r="L98" s="88" t="s">
        <v>38</v>
      </c>
      <c r="M98" s="88">
        <f>1/M97</f>
        <v>8.7755102040816324E-2</v>
      </c>
      <c r="N98" s="75"/>
      <c r="O98" s="75"/>
      <c r="P98" s="28"/>
      <c r="Q98" s="28"/>
      <c r="R98" s="28"/>
      <c r="S98" s="28"/>
      <c r="T98" s="28"/>
      <c r="U98" s="28"/>
      <c r="V98" s="28"/>
      <c r="W98" s="28"/>
      <c r="X98" s="28"/>
      <c r="Y98" s="75"/>
      <c r="Z98" s="75"/>
    </row>
    <row r="99" spans="1:26" s="3" customFormat="1">
      <c r="A99" s="19">
        <v>0.74375000000000002</v>
      </c>
      <c r="B99" s="19">
        <v>0.74444444444444446</v>
      </c>
      <c r="C99" s="19">
        <v>0.75</v>
      </c>
      <c r="D99" s="20" t="s">
        <v>46</v>
      </c>
      <c r="E99" s="20" t="s">
        <v>47</v>
      </c>
      <c r="F99" s="19">
        <f t="shared" si="29"/>
        <v>5.5555555555555358E-3</v>
      </c>
      <c r="G99" s="21">
        <f t="shared" si="30"/>
        <v>1071</v>
      </c>
      <c r="H99" s="19">
        <f t="shared" si="31"/>
        <v>5.5555555555555358E-3</v>
      </c>
      <c r="I99" s="27">
        <f>HOUR(H99)*60+MINUTE(H99)</f>
        <v>8</v>
      </c>
      <c r="J99" s="21">
        <f t="shared" si="32"/>
        <v>3</v>
      </c>
      <c r="K99" s="28"/>
      <c r="L99" s="49" t="s">
        <v>40</v>
      </c>
      <c r="M99" s="49">
        <v>5</v>
      </c>
      <c r="N99" s="75"/>
      <c r="O99" s="206" t="s">
        <v>39</v>
      </c>
      <c r="P99" s="206"/>
      <c r="Q99" s="206"/>
      <c r="R99" s="206"/>
      <c r="S99" s="206"/>
      <c r="T99" s="206"/>
      <c r="U99" s="206"/>
      <c r="V99" s="206"/>
      <c r="W99" s="28"/>
      <c r="X99" s="28"/>
      <c r="Y99" s="75"/>
      <c r="Z99" s="75"/>
    </row>
    <row r="100" spans="1:26" s="6" customFormat="1">
      <c r="A100" s="22">
        <v>0.74375000000000002</v>
      </c>
      <c r="B100" s="22">
        <v>0.74652777777777779</v>
      </c>
      <c r="C100" s="22">
        <v>0.75347222222222221</v>
      </c>
      <c r="D100" s="23" t="s">
        <v>48</v>
      </c>
      <c r="E100" s="23" t="s">
        <v>47</v>
      </c>
      <c r="F100" s="22">
        <f t="shared" si="29"/>
        <v>6.9444444444444198E-3</v>
      </c>
      <c r="G100" s="24">
        <f t="shared" si="30"/>
        <v>1071</v>
      </c>
      <c r="H100" s="22">
        <f t="shared" si="31"/>
        <v>6.9444444444444198E-3</v>
      </c>
      <c r="I100" s="27">
        <f>HOUR(H100)*60+MINUTE(H100)</f>
        <v>10</v>
      </c>
      <c r="J100" s="24">
        <f t="shared" si="32"/>
        <v>0</v>
      </c>
      <c r="K100" s="28"/>
      <c r="L100" s="49" t="s">
        <v>41</v>
      </c>
      <c r="M100" s="49">
        <v>11.07</v>
      </c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75"/>
      <c r="Z100" s="75"/>
    </row>
    <row r="101" spans="1:26" s="3" customFormat="1">
      <c r="A101" s="19">
        <v>0.74444444444444446</v>
      </c>
      <c r="B101" s="19">
        <v>0.75</v>
      </c>
      <c r="C101" s="19">
        <v>0.75208333333333333</v>
      </c>
      <c r="D101" s="20" t="s">
        <v>46</v>
      </c>
      <c r="E101" s="20" t="s">
        <v>47</v>
      </c>
      <c r="F101" s="19">
        <f t="shared" si="29"/>
        <v>2.0833333333333259E-3</v>
      </c>
      <c r="G101" s="21">
        <f t="shared" si="30"/>
        <v>1072</v>
      </c>
      <c r="H101" s="19">
        <f t="shared" si="31"/>
        <v>2.0833333333333259E-3</v>
      </c>
      <c r="I101" s="27">
        <f>HOUR(H101)*60+MINUTE(H101)</f>
        <v>3</v>
      </c>
      <c r="J101" s="21">
        <f t="shared" si="32"/>
        <v>1</v>
      </c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75"/>
      <c r="Z101" s="75"/>
    </row>
    <row r="102" spans="1:26" s="3" customFormat="1">
      <c r="A102" s="19">
        <v>0.74444444444444446</v>
      </c>
      <c r="B102" s="19">
        <v>0.75208333333333333</v>
      </c>
      <c r="C102" s="19">
        <v>0.75416666666666665</v>
      </c>
      <c r="D102" s="20" t="s">
        <v>46</v>
      </c>
      <c r="E102" s="20" t="s">
        <v>47</v>
      </c>
      <c r="F102" s="19">
        <f t="shared" si="29"/>
        <v>2.0833333333333259E-3</v>
      </c>
      <c r="G102" s="21">
        <f t="shared" si="30"/>
        <v>1072</v>
      </c>
      <c r="H102" s="19">
        <f t="shared" si="31"/>
        <v>2.0833333333333259E-3</v>
      </c>
      <c r="I102" s="27">
        <f>HOUR(H102)*60+MINUTE(H102)</f>
        <v>3</v>
      </c>
      <c r="J102" s="21">
        <f t="shared" si="32"/>
        <v>0</v>
      </c>
      <c r="K102" s="28"/>
      <c r="L102" s="28" t="s">
        <v>67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75"/>
      <c r="Z102" s="75"/>
    </row>
    <row r="103" spans="1:26" s="6" customFormat="1">
      <c r="A103" s="22">
        <v>0.74722222222222223</v>
      </c>
      <c r="B103" s="22">
        <v>0.75347222222222221</v>
      </c>
      <c r="C103" s="22">
        <v>0.75763888888888886</v>
      </c>
      <c r="D103" s="23" t="s">
        <v>48</v>
      </c>
      <c r="E103" s="23" t="s">
        <v>47</v>
      </c>
      <c r="F103" s="22">
        <f t="shared" si="29"/>
        <v>4.1666666666666519E-3</v>
      </c>
      <c r="G103" s="24">
        <f t="shared" si="30"/>
        <v>1076</v>
      </c>
      <c r="H103" s="22">
        <f t="shared" si="31"/>
        <v>4.1666666666666519E-3</v>
      </c>
      <c r="I103" s="27">
        <f>HOUR(H103)*60+MINUTE(H103)</f>
        <v>6</v>
      </c>
      <c r="J103" s="24">
        <f t="shared" si="32"/>
        <v>4</v>
      </c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75"/>
      <c r="Z103" s="75"/>
    </row>
    <row r="104" spans="1:26" s="3" customFormat="1">
      <c r="A104" s="19">
        <v>0.74861111111111112</v>
      </c>
      <c r="B104" s="19">
        <v>0.75416666666666665</v>
      </c>
      <c r="C104" s="19">
        <v>0.75694444444444442</v>
      </c>
      <c r="D104" s="20" t="s">
        <v>46</v>
      </c>
      <c r="E104" s="20" t="s">
        <v>47</v>
      </c>
      <c r="F104" s="19">
        <f t="shared" si="29"/>
        <v>2.7777777777777679E-3</v>
      </c>
      <c r="G104" s="21">
        <f t="shared" si="30"/>
        <v>1078</v>
      </c>
      <c r="H104" s="19">
        <f t="shared" si="31"/>
        <v>2.7777777777777679E-3</v>
      </c>
      <c r="I104" s="27">
        <f>HOUR(H104)*60+MINUTE(H104)</f>
        <v>4</v>
      </c>
      <c r="J104" s="21">
        <f t="shared" si="32"/>
        <v>2</v>
      </c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75"/>
      <c r="Z104" s="75"/>
    </row>
    <row r="105" spans="1:26" s="3" customFormat="1">
      <c r="A105" s="19">
        <v>0.75069444444444444</v>
      </c>
      <c r="B105" s="19">
        <v>0.75694444444444442</v>
      </c>
      <c r="C105" s="19">
        <v>0.76041666666666663</v>
      </c>
      <c r="D105" s="20" t="s">
        <v>46</v>
      </c>
      <c r="E105" s="20" t="s">
        <v>47</v>
      </c>
      <c r="F105" s="19">
        <f t="shared" si="29"/>
        <v>3.4722222222222099E-3</v>
      </c>
      <c r="G105" s="21">
        <f t="shared" si="30"/>
        <v>1081</v>
      </c>
      <c r="H105" s="19">
        <f t="shared" si="31"/>
        <v>3.4722222222222099E-3</v>
      </c>
      <c r="I105" s="27">
        <f>HOUR(H105)*60+MINUTE(H105)</f>
        <v>5</v>
      </c>
      <c r="J105" s="21">
        <f t="shared" si="32"/>
        <v>3</v>
      </c>
      <c r="K105" s="28"/>
      <c r="L105" s="28"/>
      <c r="M105" s="54" t="s">
        <v>68</v>
      </c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75"/>
      <c r="Z105" s="75"/>
    </row>
    <row r="106" spans="1:26" s="6" customFormat="1">
      <c r="A106" s="22">
        <v>0.7583333333333333</v>
      </c>
      <c r="B106" s="22">
        <v>0.7583333333333333</v>
      </c>
      <c r="C106" s="22">
        <v>0.76249999999999996</v>
      </c>
      <c r="D106" s="23" t="s">
        <v>48</v>
      </c>
      <c r="E106" s="23" t="s">
        <v>47</v>
      </c>
      <c r="F106" s="22">
        <f t="shared" si="29"/>
        <v>4.1666666666666519E-3</v>
      </c>
      <c r="G106" s="24">
        <f t="shared" si="30"/>
        <v>1092</v>
      </c>
      <c r="H106" s="22">
        <f t="shared" si="31"/>
        <v>4.1666666666666519E-3</v>
      </c>
      <c r="I106" s="27">
        <f>HOUR(H106)*60+MINUTE(H106)</f>
        <v>6</v>
      </c>
      <c r="J106" s="24">
        <f t="shared" si="32"/>
        <v>11</v>
      </c>
      <c r="K106" s="28"/>
      <c r="L106" s="96" t="s">
        <v>16</v>
      </c>
      <c r="M106" s="97"/>
      <c r="N106" s="14" t="s">
        <v>18</v>
      </c>
      <c r="O106" s="12"/>
      <c r="P106" s="12" t="s">
        <v>20</v>
      </c>
      <c r="Q106" s="12" t="s">
        <v>21</v>
      </c>
      <c r="R106" s="12" t="s">
        <v>22</v>
      </c>
      <c r="S106" s="12" t="s">
        <v>23</v>
      </c>
      <c r="T106" s="12" t="s">
        <v>24</v>
      </c>
      <c r="U106" s="12" t="s">
        <v>25</v>
      </c>
      <c r="V106" s="12" t="s">
        <v>26</v>
      </c>
      <c r="W106" s="12" t="s">
        <v>27</v>
      </c>
      <c r="X106" s="118" t="s">
        <v>28</v>
      </c>
      <c r="Y106" s="75"/>
      <c r="Z106" s="75"/>
    </row>
    <row r="107" spans="1:26" s="3" customFormat="1">
      <c r="A107" s="19">
        <v>0.75902777777777775</v>
      </c>
      <c r="B107" s="19">
        <v>0.76041666666666663</v>
      </c>
      <c r="C107" s="19">
        <v>0.76597222222222228</v>
      </c>
      <c r="D107" s="20" t="s">
        <v>46</v>
      </c>
      <c r="E107" s="20" t="s">
        <v>47</v>
      </c>
      <c r="F107" s="19">
        <f t="shared" si="29"/>
        <v>5.5555555555556468E-3</v>
      </c>
      <c r="G107" s="21">
        <f t="shared" si="30"/>
        <v>1093</v>
      </c>
      <c r="H107" s="19">
        <f t="shared" si="31"/>
        <v>5.5555555555556468E-3</v>
      </c>
      <c r="I107" s="27">
        <f>HOUR(H107)*60+MINUTE(H107)</f>
        <v>8</v>
      </c>
      <c r="J107" s="21">
        <f t="shared" si="32"/>
        <v>1</v>
      </c>
      <c r="K107" s="28"/>
      <c r="L107" s="55" t="s">
        <v>29</v>
      </c>
      <c r="M107" s="55"/>
      <c r="N107" s="57" cm="1">
        <f t="array" ref="N107:N115">FREQUENCY(I267:I310,Q107:Q114)</f>
        <v>17</v>
      </c>
      <c r="O107" s="55"/>
      <c r="P107" s="55">
        <v>0</v>
      </c>
      <c r="Q107" s="55">
        <v>2</v>
      </c>
      <c r="R107" s="55">
        <f>_xlfn.EXPON.DIST(P107,0.239130435,TRUE)</f>
        <v>0</v>
      </c>
      <c r="S107" s="55">
        <f>_xlfn.EXPON.DIST(Q107,0.239130435,TRUE)</f>
        <v>0.3801395271131332</v>
      </c>
      <c r="T107" s="55">
        <f>S107-R107</f>
        <v>0.3801395271131332</v>
      </c>
      <c r="U107" s="55">
        <f>T107*44</f>
        <v>16.726139192977861</v>
      </c>
      <c r="V107" s="57">
        <f>N107-U107</f>
        <v>0.27386080702213889</v>
      </c>
      <c r="W107" s="57">
        <f>V107^2</f>
        <v>7.4999741622817195E-2</v>
      </c>
      <c r="X107" s="55">
        <f>W107/U107</f>
        <v>4.4839840657492766E-3</v>
      </c>
      <c r="Y107" s="75"/>
      <c r="Z107" s="75"/>
    </row>
    <row r="108" spans="1:26" s="6" customFormat="1">
      <c r="A108" s="22">
        <v>0.76111111111111107</v>
      </c>
      <c r="B108" s="22">
        <v>0.76249999999999996</v>
      </c>
      <c r="C108" s="22">
        <v>0.76388888888888884</v>
      </c>
      <c r="D108" s="23" t="s">
        <v>48</v>
      </c>
      <c r="E108" s="23" t="s">
        <v>47</v>
      </c>
      <c r="F108" s="22">
        <f t="shared" si="29"/>
        <v>1.388888888888884E-3</v>
      </c>
      <c r="G108" s="24">
        <f t="shared" si="30"/>
        <v>1096</v>
      </c>
      <c r="H108" s="22">
        <f t="shared" si="31"/>
        <v>1.388888888888884E-3</v>
      </c>
      <c r="I108" s="27">
        <f>HOUR(H108)*60+MINUTE(H108)</f>
        <v>2</v>
      </c>
      <c r="J108" s="24">
        <f t="shared" si="32"/>
        <v>3</v>
      </c>
      <c r="K108" s="28"/>
      <c r="L108" s="58" t="s">
        <v>30</v>
      </c>
      <c r="M108" s="55"/>
      <c r="N108" s="57">
        <v>12</v>
      </c>
      <c r="O108" s="55"/>
      <c r="P108" s="55">
        <v>2</v>
      </c>
      <c r="Q108" s="55">
        <v>4</v>
      </c>
      <c r="R108" s="55">
        <f t="shared" ref="R108:R114" si="44">_xlfn.EXPON.DIST(P108,0.239130435,TRUE)</f>
        <v>0.3801395271131332</v>
      </c>
      <c r="S108" s="55">
        <f t="shared" ref="S108:S114" si="45">_xlfn.EXPON.DIST(Q108,0.239130435,TRUE)</f>
        <v>0.61577299415246978</v>
      </c>
      <c r="T108" s="55">
        <f t="shared" ref="T108:T114" si="46">S108-R108</f>
        <v>0.23563346703933657</v>
      </c>
      <c r="U108" s="55">
        <f t="shared" ref="U108:U114" si="47">T108*44</f>
        <v>10.367872549730809</v>
      </c>
      <c r="V108" s="57">
        <f t="shared" ref="V108:V114" si="48">N108-U108</f>
        <v>1.6321274502691914</v>
      </c>
      <c r="W108" s="57">
        <f t="shared" ref="W108:W114" si="49">V108^2</f>
        <v>2.6638400139222118</v>
      </c>
      <c r="X108" s="55">
        <f t="shared" ref="X108:X114" si="50">W108/U108</f>
        <v>0.25693217206758351</v>
      </c>
      <c r="Y108" s="75"/>
      <c r="Z108" s="75"/>
    </row>
    <row r="109" spans="1:26" s="6" customFormat="1">
      <c r="A109" s="22">
        <v>0.76527777777777772</v>
      </c>
      <c r="B109" s="22">
        <v>0.76527777777777772</v>
      </c>
      <c r="C109" s="22">
        <v>0.76666666666666672</v>
      </c>
      <c r="D109" s="23" t="s">
        <v>48</v>
      </c>
      <c r="E109" s="23" t="s">
        <v>47</v>
      </c>
      <c r="F109" s="22">
        <f t="shared" si="29"/>
        <v>1.388888888888995E-3</v>
      </c>
      <c r="G109" s="24">
        <f t="shared" si="30"/>
        <v>1102</v>
      </c>
      <c r="H109" s="22">
        <f t="shared" si="31"/>
        <v>1.388888888888995E-3</v>
      </c>
      <c r="I109" s="27">
        <f>HOUR(H109)*60+MINUTE(H109)</f>
        <v>2</v>
      </c>
      <c r="J109" s="24">
        <f t="shared" si="32"/>
        <v>6</v>
      </c>
      <c r="K109" s="28"/>
      <c r="L109" s="55" t="s">
        <v>31</v>
      </c>
      <c r="M109" s="55"/>
      <c r="N109" s="57">
        <v>7</v>
      </c>
      <c r="O109" s="55"/>
      <c r="P109" s="55">
        <v>4</v>
      </c>
      <c r="Q109" s="55">
        <v>6</v>
      </c>
      <c r="R109" s="55">
        <f t="shared" si="44"/>
        <v>0.61577299415246978</v>
      </c>
      <c r="S109" s="55">
        <f t="shared" si="45"/>
        <v>0.76183286645944515</v>
      </c>
      <c r="T109" s="55">
        <f t="shared" si="46"/>
        <v>0.14605987230697537</v>
      </c>
      <c r="U109" s="55">
        <f t="shared" si="47"/>
        <v>6.4266343815069167</v>
      </c>
      <c r="V109" s="57">
        <f t="shared" si="48"/>
        <v>0.57336561849308332</v>
      </c>
      <c r="W109" s="57">
        <f t="shared" si="49"/>
        <v>0.32874813246995599</v>
      </c>
      <c r="X109" s="55">
        <f t="shared" si="50"/>
        <v>5.1154012030924213E-2</v>
      </c>
      <c r="Y109" s="75"/>
      <c r="Z109" s="75"/>
    </row>
    <row r="110" spans="1:26" s="3" customFormat="1">
      <c r="A110" s="19">
        <v>0.76597222222222228</v>
      </c>
      <c r="B110" s="19">
        <v>0.76597222222222228</v>
      </c>
      <c r="C110" s="19">
        <v>0.76666666666666672</v>
      </c>
      <c r="D110" s="20" t="s">
        <v>46</v>
      </c>
      <c r="E110" s="20" t="s">
        <v>47</v>
      </c>
      <c r="F110" s="19">
        <f t="shared" si="29"/>
        <v>6.9444444444444198E-4</v>
      </c>
      <c r="G110" s="21">
        <f t="shared" si="30"/>
        <v>1103</v>
      </c>
      <c r="H110" s="19">
        <f t="shared" si="31"/>
        <v>6.9444444444444198E-4</v>
      </c>
      <c r="I110" s="27">
        <f>HOUR(H110)*60+MINUTE(H110)</f>
        <v>1</v>
      </c>
      <c r="J110" s="21">
        <f t="shared" si="32"/>
        <v>1</v>
      </c>
      <c r="K110" s="28"/>
      <c r="L110" s="55" t="s">
        <v>32</v>
      </c>
      <c r="M110" s="55"/>
      <c r="N110" s="57">
        <v>3</v>
      </c>
      <c r="O110" s="55"/>
      <c r="P110" s="55">
        <v>6</v>
      </c>
      <c r="Q110" s="55">
        <v>8</v>
      </c>
      <c r="R110" s="55">
        <f t="shared" si="44"/>
        <v>0.76183286645944515</v>
      </c>
      <c r="S110" s="55">
        <f t="shared" si="45"/>
        <v>0.8523696079774421</v>
      </c>
      <c r="T110" s="55">
        <f t="shared" si="46"/>
        <v>9.0536741517996955E-2</v>
      </c>
      <c r="U110" s="55">
        <f t="shared" si="47"/>
        <v>3.983616626791866</v>
      </c>
      <c r="V110" s="57">
        <f t="shared" si="48"/>
        <v>-0.98361662679186601</v>
      </c>
      <c r="W110" s="57">
        <f t="shared" si="49"/>
        <v>0.96750166850140906</v>
      </c>
      <c r="X110" s="55">
        <f t="shared" si="50"/>
        <v>0.24287017530614363</v>
      </c>
      <c r="Y110" s="75"/>
      <c r="Z110" s="75"/>
    </row>
    <row r="111" spans="1:26" s="3" customFormat="1">
      <c r="A111" s="19">
        <v>0.76597222222222228</v>
      </c>
      <c r="B111" s="19">
        <v>0.76666666666666672</v>
      </c>
      <c r="C111" s="19">
        <v>0.76875000000000004</v>
      </c>
      <c r="D111" s="20" t="s">
        <v>46</v>
      </c>
      <c r="E111" s="20" t="s">
        <v>47</v>
      </c>
      <c r="F111" s="19">
        <f t="shared" si="29"/>
        <v>2.0833333333333259E-3</v>
      </c>
      <c r="G111" s="21">
        <f t="shared" si="30"/>
        <v>1103</v>
      </c>
      <c r="H111" s="19">
        <f t="shared" si="31"/>
        <v>2.0833333333333259E-3</v>
      </c>
      <c r="I111" s="27">
        <f>HOUR(H111)*60+MINUTE(H111)</f>
        <v>3</v>
      </c>
      <c r="J111" s="21">
        <f t="shared" si="32"/>
        <v>0</v>
      </c>
      <c r="K111" s="28"/>
      <c r="L111" s="58" t="s">
        <v>33</v>
      </c>
      <c r="M111" s="55"/>
      <c r="N111" s="57">
        <v>2</v>
      </c>
      <c r="O111" s="55"/>
      <c r="P111" s="55">
        <v>8</v>
      </c>
      <c r="Q111" s="55">
        <v>10</v>
      </c>
      <c r="R111" s="55">
        <f t="shared" si="44"/>
        <v>0.8523696079774421</v>
      </c>
      <c r="S111" s="55">
        <f t="shared" si="45"/>
        <v>0.90848975538842369</v>
      </c>
      <c r="T111" s="55">
        <f t="shared" si="46"/>
        <v>5.6120147410981591E-2</v>
      </c>
      <c r="U111" s="55">
        <f t="shared" si="47"/>
        <v>2.46928648608319</v>
      </c>
      <c r="V111" s="57">
        <f t="shared" si="48"/>
        <v>-0.46928648608319001</v>
      </c>
      <c r="W111" s="57">
        <f t="shared" si="49"/>
        <v>0.22022980602030809</v>
      </c>
      <c r="X111" s="55">
        <f t="shared" si="50"/>
        <v>8.918762859697138E-2</v>
      </c>
      <c r="Y111" s="75"/>
      <c r="Z111" s="75"/>
    </row>
    <row r="112" spans="1:26" s="6" customFormat="1">
      <c r="A112" s="22">
        <v>0.76736111111111116</v>
      </c>
      <c r="B112" s="22">
        <v>0.76736111111111116</v>
      </c>
      <c r="C112" s="22">
        <v>0.76736111111111116</v>
      </c>
      <c r="D112" s="23" t="s">
        <v>48</v>
      </c>
      <c r="E112" s="23" t="s">
        <v>47</v>
      </c>
      <c r="F112" s="22">
        <f t="shared" si="29"/>
        <v>0</v>
      </c>
      <c r="G112" s="24">
        <f t="shared" si="30"/>
        <v>1105</v>
      </c>
      <c r="H112" s="22">
        <f t="shared" si="31"/>
        <v>0</v>
      </c>
      <c r="I112" s="27">
        <f>HOUR(H112)*60+MINUTE(H112)</f>
        <v>0</v>
      </c>
      <c r="J112" s="24">
        <f t="shared" si="32"/>
        <v>2</v>
      </c>
      <c r="K112" s="28"/>
      <c r="L112" s="55" t="s">
        <v>34</v>
      </c>
      <c r="M112" s="55"/>
      <c r="N112" s="57">
        <v>1</v>
      </c>
      <c r="O112" s="55"/>
      <c r="P112" s="55">
        <v>10</v>
      </c>
      <c r="Q112" s="55">
        <v>12</v>
      </c>
      <c r="R112" s="55">
        <f t="shared" si="44"/>
        <v>0.90848975538842369</v>
      </c>
      <c r="S112" s="55">
        <f t="shared" si="45"/>
        <v>0.94327641650107552</v>
      </c>
      <c r="T112" s="55">
        <f t="shared" si="46"/>
        <v>3.4786661112651829E-2</v>
      </c>
      <c r="U112" s="55">
        <f t="shared" si="47"/>
        <v>1.5306130889566805</v>
      </c>
      <c r="V112" s="57">
        <f t="shared" si="48"/>
        <v>-0.53061308895668047</v>
      </c>
      <c r="W112" s="57">
        <f t="shared" si="49"/>
        <v>0.28155025017215007</v>
      </c>
      <c r="X112" s="55">
        <f t="shared" si="50"/>
        <v>0.1839460620084365</v>
      </c>
      <c r="Y112" s="75"/>
      <c r="Z112" s="75"/>
    </row>
    <row r="113" spans="1:53" s="6" customFormat="1">
      <c r="A113" s="22">
        <v>0.7680555555555556</v>
      </c>
      <c r="B113" s="22">
        <v>0.7680555555555556</v>
      </c>
      <c r="C113" s="22">
        <v>0.76944444444444449</v>
      </c>
      <c r="D113" s="23" t="s">
        <v>48</v>
      </c>
      <c r="E113" s="23" t="s">
        <v>47</v>
      </c>
      <c r="F113" s="22">
        <f t="shared" si="29"/>
        <v>1.388888888888884E-3</v>
      </c>
      <c r="G113" s="24">
        <f t="shared" si="30"/>
        <v>1106</v>
      </c>
      <c r="H113" s="22">
        <f t="shared" si="31"/>
        <v>1.388888888888884E-3</v>
      </c>
      <c r="I113" s="27">
        <f>HOUR(H113)*60+MINUTE(H113)</f>
        <v>2</v>
      </c>
      <c r="J113" s="24">
        <f t="shared" si="32"/>
        <v>1</v>
      </c>
      <c r="K113" s="28"/>
      <c r="L113" s="55" t="s">
        <v>35</v>
      </c>
      <c r="M113" s="55"/>
      <c r="N113" s="57">
        <v>1</v>
      </c>
      <c r="O113" s="55"/>
      <c r="P113" s="55">
        <v>12</v>
      </c>
      <c r="Q113" s="55">
        <v>14</v>
      </c>
      <c r="R113" s="55">
        <f t="shared" si="44"/>
        <v>0.94327641650107552</v>
      </c>
      <c r="S113" s="55">
        <f t="shared" si="45"/>
        <v>0.96483929270851898</v>
      </c>
      <c r="T113" s="55">
        <f t="shared" si="46"/>
        <v>2.156287620744346E-2</v>
      </c>
      <c r="U113" s="55">
        <f t="shared" si="47"/>
        <v>0.94876655312751224</v>
      </c>
      <c r="V113" s="57">
        <f t="shared" si="48"/>
        <v>5.1233446872487765E-2</v>
      </c>
      <c r="W113" s="57">
        <f t="shared" si="49"/>
        <v>2.6248660784360263E-3</v>
      </c>
      <c r="X113" s="55">
        <f t="shared" si="50"/>
        <v>2.7666089933118141E-3</v>
      </c>
      <c r="Y113" s="75"/>
      <c r="Z113" s="75"/>
    </row>
    <row r="114" spans="1:53" s="3" customFormat="1">
      <c r="A114" s="19">
        <v>0.77638888888888891</v>
      </c>
      <c r="B114" s="19">
        <v>0.77638888888888891</v>
      </c>
      <c r="C114" s="19">
        <v>0.77847222222222223</v>
      </c>
      <c r="D114" s="20" t="s">
        <v>46</v>
      </c>
      <c r="E114" s="20" t="s">
        <v>47</v>
      </c>
      <c r="F114" s="19">
        <f t="shared" si="29"/>
        <v>2.0833333333333259E-3</v>
      </c>
      <c r="G114" s="21">
        <f t="shared" si="30"/>
        <v>1118</v>
      </c>
      <c r="H114" s="19">
        <f t="shared" si="31"/>
        <v>2.0833333333333259E-3</v>
      </c>
      <c r="I114" s="27">
        <f>HOUR(H114)*60+MINUTE(H114)</f>
        <v>3</v>
      </c>
      <c r="J114" s="21">
        <f t="shared" si="32"/>
        <v>12</v>
      </c>
      <c r="K114" s="28"/>
      <c r="L114" s="55" t="s">
        <v>58</v>
      </c>
      <c r="M114" s="55"/>
      <c r="N114" s="55">
        <v>1</v>
      </c>
      <c r="O114" s="55"/>
      <c r="P114" s="55">
        <v>14</v>
      </c>
      <c r="Q114" s="55">
        <v>16</v>
      </c>
      <c r="R114" s="55">
        <f t="shared" si="44"/>
        <v>0.96483929270851898</v>
      </c>
      <c r="S114" s="55">
        <f t="shared" si="45"/>
        <v>0.97820526735126589</v>
      </c>
      <c r="T114" s="55">
        <f t="shared" si="46"/>
        <v>1.3365974642746914E-2</v>
      </c>
      <c r="U114" s="55">
        <f t="shared" si="47"/>
        <v>0.58810288428086421</v>
      </c>
      <c r="V114" s="57">
        <f t="shared" si="48"/>
        <v>0.41189711571913579</v>
      </c>
      <c r="W114" s="57">
        <f t="shared" si="49"/>
        <v>0.16965923393774313</v>
      </c>
      <c r="X114" s="55">
        <f t="shared" si="50"/>
        <v>0.28848563486506867</v>
      </c>
      <c r="Y114" s="75"/>
      <c r="Z114" s="75"/>
    </row>
    <row r="115" spans="1:53" s="3" customFormat="1">
      <c r="A115" s="19">
        <v>0.78125</v>
      </c>
      <c r="B115" s="19">
        <v>0.78125</v>
      </c>
      <c r="C115" s="19">
        <v>0.78263888888888888</v>
      </c>
      <c r="D115" s="20" t="s">
        <v>46</v>
      </c>
      <c r="E115" s="20" t="s">
        <v>47</v>
      </c>
      <c r="F115" s="19">
        <f t="shared" si="29"/>
        <v>1.388888888888884E-3</v>
      </c>
      <c r="G115" s="21">
        <f t="shared" si="30"/>
        <v>1125</v>
      </c>
      <c r="H115" s="19">
        <f t="shared" si="31"/>
        <v>1.388888888888884E-3</v>
      </c>
      <c r="I115" s="27">
        <f>HOUR(H115)*60+MINUTE(H115)</f>
        <v>2</v>
      </c>
      <c r="J115" s="21">
        <f t="shared" si="32"/>
        <v>7</v>
      </c>
      <c r="K115" s="28"/>
      <c r="L115" s="55"/>
      <c r="M115" s="55"/>
      <c r="N115" s="55">
        <v>0</v>
      </c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75"/>
      <c r="Z115" s="75"/>
    </row>
    <row r="116" spans="1:53" s="3" customFormat="1">
      <c r="A116" s="19">
        <v>0.78472222222222221</v>
      </c>
      <c r="B116" s="19">
        <v>0.78472222222222221</v>
      </c>
      <c r="C116" s="19">
        <v>0.78680555555555554</v>
      </c>
      <c r="D116" s="20" t="s">
        <v>46</v>
      </c>
      <c r="E116" s="20" t="s">
        <v>47</v>
      </c>
      <c r="F116" s="19">
        <f t="shared" si="29"/>
        <v>2.0833333333333259E-3</v>
      </c>
      <c r="G116" s="21">
        <f t="shared" si="30"/>
        <v>1130</v>
      </c>
      <c r="H116" s="19">
        <f t="shared" si="31"/>
        <v>2.0833333333333259E-3</v>
      </c>
      <c r="I116" s="27">
        <f>HOUR(H116)*60+MINUTE(H116)</f>
        <v>3</v>
      </c>
      <c r="J116" s="21">
        <f t="shared" si="32"/>
        <v>5</v>
      </c>
      <c r="K116" s="28"/>
      <c r="L116" s="120"/>
      <c r="M116" s="28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121"/>
      <c r="Y116" s="75"/>
      <c r="Z116" s="75"/>
      <c r="AA116" s="75"/>
    </row>
    <row r="117" spans="1:53" s="3" customFormat="1">
      <c r="A117" s="19">
        <v>0.79097222222222219</v>
      </c>
      <c r="B117" s="19">
        <v>0.79097222222222219</v>
      </c>
      <c r="C117" s="19">
        <v>0.79097222222222219</v>
      </c>
      <c r="D117" s="20" t="s">
        <v>46</v>
      </c>
      <c r="E117" s="20" t="s">
        <v>47</v>
      </c>
      <c r="F117" s="19">
        <f t="shared" si="29"/>
        <v>0</v>
      </c>
      <c r="G117" s="21">
        <f t="shared" si="30"/>
        <v>1139</v>
      </c>
      <c r="H117" s="19">
        <f t="shared" si="31"/>
        <v>0</v>
      </c>
      <c r="I117" s="27">
        <f>HOUR(H117)*60+MINUTE(H117)</f>
        <v>0</v>
      </c>
      <c r="J117" s="21">
        <f t="shared" si="32"/>
        <v>9</v>
      </c>
      <c r="K117" s="28"/>
      <c r="L117" s="101" t="s">
        <v>36</v>
      </c>
      <c r="M117" s="102"/>
      <c r="N117" s="103"/>
      <c r="O117" s="103"/>
      <c r="P117" s="104"/>
      <c r="Q117" s="104"/>
      <c r="R117" s="104"/>
      <c r="S117" s="104"/>
      <c r="T117" s="104"/>
      <c r="U117" s="104"/>
      <c r="V117" s="104"/>
      <c r="W117" s="104"/>
      <c r="X117" s="105">
        <f>SUM(X107:X114)</f>
        <v>1.119826277934189</v>
      </c>
      <c r="Y117" s="75"/>
      <c r="Z117" s="75"/>
    </row>
    <row r="118" spans="1:53" s="3" customFormat="1">
      <c r="A118" s="19">
        <v>0.79583333333333328</v>
      </c>
      <c r="B118" s="19">
        <v>0.79583333333333328</v>
      </c>
      <c r="C118" s="19">
        <v>0.79583333333333328</v>
      </c>
      <c r="D118" s="20" t="s">
        <v>46</v>
      </c>
      <c r="E118" s="20" t="s">
        <v>47</v>
      </c>
      <c r="F118" s="19">
        <f t="shared" si="29"/>
        <v>0</v>
      </c>
      <c r="G118" s="21">
        <f t="shared" si="30"/>
        <v>1146</v>
      </c>
      <c r="H118" s="19">
        <f t="shared" si="31"/>
        <v>0</v>
      </c>
      <c r="I118" s="27">
        <f>HOUR(H118)*60+MINUTE(H118)</f>
        <v>0</v>
      </c>
      <c r="J118" s="21">
        <f t="shared" si="32"/>
        <v>7</v>
      </c>
      <c r="K118" s="28"/>
      <c r="L118" s="75"/>
      <c r="M118" s="75"/>
      <c r="N118" s="75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75"/>
      <c r="Z118" s="75"/>
    </row>
    <row r="119" spans="1:53" s="3" customFormat="1">
      <c r="A119" s="19">
        <v>0.79652777777777772</v>
      </c>
      <c r="B119" s="19">
        <v>0.79652777777777772</v>
      </c>
      <c r="C119" s="19">
        <v>0.80138888888888893</v>
      </c>
      <c r="D119" s="20" t="s">
        <v>46</v>
      </c>
      <c r="E119" s="20" t="s">
        <v>47</v>
      </c>
      <c r="F119" s="19">
        <f t="shared" si="29"/>
        <v>4.8611111111112049E-3</v>
      </c>
      <c r="G119" s="21">
        <f t="shared" si="30"/>
        <v>1147</v>
      </c>
      <c r="H119" s="19">
        <f t="shared" si="31"/>
        <v>4.8611111111112049E-3</v>
      </c>
      <c r="I119" s="27">
        <f>HOUR(H119)*60+MINUTE(H119)</f>
        <v>7</v>
      </c>
      <c r="J119" s="21">
        <f t="shared" si="32"/>
        <v>1</v>
      </c>
      <c r="K119" s="28"/>
      <c r="L119" s="16" t="s">
        <v>37</v>
      </c>
      <c r="M119" s="122">
        <f>AVERAGE(I267:I310)</f>
        <v>4.1818181818181817</v>
      </c>
      <c r="N119" s="75"/>
      <c r="O119" s="206" t="s">
        <v>43</v>
      </c>
      <c r="P119" s="206"/>
      <c r="Q119" s="206"/>
      <c r="R119" s="206"/>
      <c r="S119" s="206"/>
      <c r="T119" s="206"/>
      <c r="U119" s="206"/>
      <c r="V119" s="206"/>
      <c r="W119" s="28"/>
      <c r="X119" s="28"/>
      <c r="Y119" s="75"/>
      <c r="Z119" s="75"/>
    </row>
    <row r="120" spans="1:53" s="3" customFormat="1">
      <c r="A120" s="19">
        <v>0.80347222222222225</v>
      </c>
      <c r="B120" s="19">
        <v>0.80347222222222225</v>
      </c>
      <c r="C120" s="19">
        <v>0.80486111111111114</v>
      </c>
      <c r="D120" s="20" t="s">
        <v>46</v>
      </c>
      <c r="E120" s="20" t="s">
        <v>47</v>
      </c>
      <c r="F120" s="19">
        <f t="shared" si="29"/>
        <v>1.388888888888884E-3</v>
      </c>
      <c r="G120" s="21">
        <f t="shared" si="30"/>
        <v>1157</v>
      </c>
      <c r="H120" s="19">
        <f t="shared" si="31"/>
        <v>1.388888888888884E-3</v>
      </c>
      <c r="I120" s="27">
        <f>HOUR(H120)*60+MINUTE(H120)</f>
        <v>2</v>
      </c>
      <c r="J120" s="21">
        <f t="shared" si="32"/>
        <v>10</v>
      </c>
      <c r="K120" s="28"/>
      <c r="L120" s="16" t="s">
        <v>38</v>
      </c>
      <c r="M120" s="16">
        <f>1/M119</f>
        <v>0.2391304347826087</v>
      </c>
      <c r="N120" s="75">
        <v>0.2391304347826087</v>
      </c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75"/>
      <c r="Z120" s="75"/>
    </row>
    <row r="121" spans="1:53" s="3" customFormat="1">
      <c r="A121" s="19">
        <v>0.80625000000000002</v>
      </c>
      <c r="B121" s="19">
        <v>0.80625000000000002</v>
      </c>
      <c r="C121" s="19">
        <v>0.80625000000000002</v>
      </c>
      <c r="D121" s="20" t="s">
        <v>46</v>
      </c>
      <c r="E121" s="20" t="s">
        <v>47</v>
      </c>
      <c r="F121" s="19">
        <f t="shared" si="29"/>
        <v>0</v>
      </c>
      <c r="G121" s="21">
        <f t="shared" si="30"/>
        <v>1161</v>
      </c>
      <c r="H121" s="19">
        <f t="shared" si="31"/>
        <v>0</v>
      </c>
      <c r="I121" s="27">
        <f>HOUR(H121)*60+MINUTE(H121)</f>
        <v>0</v>
      </c>
      <c r="J121" s="21">
        <f t="shared" si="32"/>
        <v>4</v>
      </c>
      <c r="K121" s="28"/>
      <c r="L121" s="16" t="s">
        <v>40</v>
      </c>
      <c r="M121" s="16">
        <v>6</v>
      </c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75"/>
      <c r="Z121" s="75"/>
    </row>
    <row r="122" spans="1:53" s="3" customFormat="1">
      <c r="A122" s="19">
        <v>0.81111111111111112</v>
      </c>
      <c r="B122" s="19">
        <v>0.81111111111111112</v>
      </c>
      <c r="C122" s="19">
        <v>0.81319444444444444</v>
      </c>
      <c r="D122" s="20" t="s">
        <v>46</v>
      </c>
      <c r="E122" s="20" t="s">
        <v>47</v>
      </c>
      <c r="F122" s="19">
        <f t="shared" si="29"/>
        <v>2.0833333333333259E-3</v>
      </c>
      <c r="G122" s="21">
        <f t="shared" si="30"/>
        <v>1168</v>
      </c>
      <c r="H122" s="19">
        <f t="shared" si="31"/>
        <v>2.0833333333333259E-3</v>
      </c>
      <c r="I122" s="27">
        <f>HOUR(H122)*60+MINUTE(H122)</f>
        <v>3</v>
      </c>
      <c r="J122" s="21">
        <f t="shared" si="32"/>
        <v>7</v>
      </c>
      <c r="K122" s="28"/>
      <c r="L122" s="16" t="s">
        <v>41</v>
      </c>
      <c r="M122" s="16">
        <v>12.592000000000001</v>
      </c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75"/>
      <c r="Z122" s="75"/>
    </row>
    <row r="123" spans="1:53" s="3" customFormat="1">
      <c r="A123" s="19">
        <v>0.81805555555555554</v>
      </c>
      <c r="B123" s="19">
        <v>0.81805555555555554</v>
      </c>
      <c r="C123" s="19">
        <v>0.82222222222222219</v>
      </c>
      <c r="D123" s="20" t="s">
        <v>46</v>
      </c>
      <c r="E123" s="20" t="s">
        <v>47</v>
      </c>
      <c r="F123" s="19">
        <f t="shared" si="29"/>
        <v>4.1666666666666519E-3</v>
      </c>
      <c r="G123" s="21">
        <f t="shared" si="30"/>
        <v>1178</v>
      </c>
      <c r="H123" s="19">
        <f t="shared" si="31"/>
        <v>4.1666666666666519E-3</v>
      </c>
      <c r="I123" s="27">
        <f>HOUR(H123)*60+MINUTE(H123)</f>
        <v>6</v>
      </c>
      <c r="J123" s="21">
        <f t="shared" si="32"/>
        <v>10</v>
      </c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5"/>
      <c r="AL123" s="75"/>
      <c r="AM123" s="75"/>
      <c r="AN123" s="75"/>
      <c r="AO123" s="75"/>
      <c r="AP123" s="75"/>
      <c r="AQ123" s="75"/>
      <c r="AR123" s="75"/>
      <c r="AS123" s="75"/>
      <c r="AT123" s="75"/>
      <c r="AU123" s="75"/>
      <c r="AV123" s="75"/>
      <c r="AW123" s="75"/>
      <c r="AX123" s="75"/>
      <c r="AY123" s="75"/>
      <c r="AZ123" s="75"/>
      <c r="BA123" s="75"/>
    </row>
    <row r="124" spans="1:53" s="6" customFormat="1">
      <c r="A124" s="22">
        <v>0.81944444444444442</v>
      </c>
      <c r="B124" s="22">
        <v>0.81944444444444442</v>
      </c>
      <c r="C124" s="22">
        <v>0.82013888888888886</v>
      </c>
      <c r="D124" s="23" t="s">
        <v>48</v>
      </c>
      <c r="E124" s="23" t="s">
        <v>47</v>
      </c>
      <c r="F124" s="22">
        <f t="shared" si="29"/>
        <v>6.9444444444444198E-4</v>
      </c>
      <c r="G124" s="24">
        <f t="shared" si="30"/>
        <v>1180</v>
      </c>
      <c r="H124" s="22">
        <f t="shared" si="31"/>
        <v>6.9444444444444198E-4</v>
      </c>
      <c r="I124" s="27">
        <f>HOUR(H124)*60+MINUTE(H124)</f>
        <v>1</v>
      </c>
      <c r="J124" s="24">
        <f t="shared" si="32"/>
        <v>2</v>
      </c>
      <c r="K124" s="28"/>
      <c r="L124" s="28"/>
      <c r="M124" s="28" t="s">
        <v>69</v>
      </c>
      <c r="N124" s="28" t="s">
        <v>70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5"/>
      <c r="AV124" s="75"/>
      <c r="AW124" s="75"/>
      <c r="AX124" s="75"/>
      <c r="AY124" s="75"/>
      <c r="AZ124" s="75"/>
      <c r="BA124" s="75"/>
    </row>
    <row r="125" spans="1:53" s="6" customFormat="1">
      <c r="A125" s="22">
        <v>0.82013888888888886</v>
      </c>
      <c r="B125" s="22">
        <v>0.82013888888888886</v>
      </c>
      <c r="C125" s="22">
        <v>0.82291666666666663</v>
      </c>
      <c r="D125" s="23" t="s">
        <v>48</v>
      </c>
      <c r="E125" s="23" t="s">
        <v>47</v>
      </c>
      <c r="F125" s="22">
        <f t="shared" si="29"/>
        <v>2.7777777777777679E-3</v>
      </c>
      <c r="G125" s="24">
        <f t="shared" si="30"/>
        <v>1181</v>
      </c>
      <c r="H125" s="22">
        <f t="shared" si="31"/>
        <v>2.7777777777777679E-3</v>
      </c>
      <c r="I125" s="27">
        <f>HOUR(H125)*60+MINUTE(H125)</f>
        <v>4</v>
      </c>
      <c r="J125" s="24">
        <f t="shared" si="32"/>
        <v>1</v>
      </c>
      <c r="K125" s="28"/>
      <c r="L125" s="35" t="s">
        <v>16</v>
      </c>
      <c r="M125" s="36" t="s">
        <v>17</v>
      </c>
      <c r="N125" s="37" t="s">
        <v>18</v>
      </c>
      <c r="O125" s="36"/>
      <c r="P125" s="36" t="s">
        <v>20</v>
      </c>
      <c r="Q125" s="36" t="s">
        <v>21</v>
      </c>
      <c r="R125" s="36" t="s">
        <v>22</v>
      </c>
      <c r="S125" s="36" t="s">
        <v>23</v>
      </c>
      <c r="T125" s="36" t="s">
        <v>24</v>
      </c>
      <c r="U125" s="36" t="s">
        <v>25</v>
      </c>
      <c r="V125" s="36" t="s">
        <v>26</v>
      </c>
      <c r="W125" s="36" t="s">
        <v>27</v>
      </c>
      <c r="X125" s="36" t="s">
        <v>28</v>
      </c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</row>
    <row r="126" spans="1:53" s="3" customFormat="1">
      <c r="A126" s="19">
        <v>0.8208333333333333</v>
      </c>
      <c r="B126" s="19">
        <v>0.82222222222222219</v>
      </c>
      <c r="C126" s="19">
        <v>0.82291666666666663</v>
      </c>
      <c r="D126" s="20" t="s">
        <v>46</v>
      </c>
      <c r="E126" s="20" t="s">
        <v>47</v>
      </c>
      <c r="F126" s="19">
        <f t="shared" si="29"/>
        <v>6.9444444444444198E-4</v>
      </c>
      <c r="G126" s="21">
        <f t="shared" si="30"/>
        <v>1182</v>
      </c>
      <c r="H126" s="19">
        <f t="shared" si="31"/>
        <v>6.9444444444444198E-4</v>
      </c>
      <c r="I126" s="27">
        <f>HOUR(H126)*60+MINUTE(H126)</f>
        <v>1</v>
      </c>
      <c r="J126" s="21">
        <f t="shared" si="32"/>
        <v>1</v>
      </c>
      <c r="K126" s="28"/>
      <c r="L126" s="110" t="s">
        <v>29</v>
      </c>
      <c r="M126" s="111">
        <f>(P126+Q126)/2</f>
        <v>1</v>
      </c>
      <c r="N126" s="112" cm="1">
        <f t="array" ref="N126:N136">FREQUENCY(J2:J175,Q126:Q135)</f>
        <v>78</v>
      </c>
      <c r="O126" s="111"/>
      <c r="P126" s="111">
        <v>0</v>
      </c>
      <c r="Q126" s="111">
        <v>2</v>
      </c>
      <c r="R126" s="111">
        <f>_xlfn.EXPON.DIST(P126,0.242130751,TRUE)</f>
        <v>0</v>
      </c>
      <c r="S126" s="111">
        <f>_xlfn.EXPON.DIST(Q126,0.242130751,TRUE)</f>
        <v>0.38384794415170953</v>
      </c>
      <c r="T126" s="111">
        <f>S126-R126</f>
        <v>0.38384794415170953</v>
      </c>
      <c r="U126" s="111">
        <f>T126*173</f>
        <v>66.405694338245752</v>
      </c>
      <c r="V126" s="112">
        <f>N126-U126</f>
        <v>11.594305661754248</v>
      </c>
      <c r="W126" s="112">
        <f>V126^2</f>
        <v>134.42792377818662</v>
      </c>
      <c r="X126" s="113">
        <f>W126/U126</f>
        <v>2.0243433205209946</v>
      </c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</row>
    <row r="127" spans="1:53" s="3" customFormat="1">
      <c r="A127" s="19">
        <v>0.82222222222222219</v>
      </c>
      <c r="B127" s="19">
        <v>0.82291666666666663</v>
      </c>
      <c r="C127" s="19">
        <v>0.82291666666666663</v>
      </c>
      <c r="D127" s="20" t="s">
        <v>46</v>
      </c>
      <c r="E127" s="20" t="s">
        <v>47</v>
      </c>
      <c r="F127" s="19">
        <f t="shared" si="29"/>
        <v>0</v>
      </c>
      <c r="G127" s="21">
        <f t="shared" si="30"/>
        <v>1184</v>
      </c>
      <c r="H127" s="19">
        <f t="shared" si="31"/>
        <v>0</v>
      </c>
      <c r="I127" s="27">
        <f>HOUR(H127)*60+MINUTE(H127)</f>
        <v>0</v>
      </c>
      <c r="J127" s="21">
        <f t="shared" si="32"/>
        <v>2</v>
      </c>
      <c r="K127" s="28"/>
      <c r="L127" s="83" t="s">
        <v>30</v>
      </c>
      <c r="M127" s="111">
        <f t="shared" ref="M127:M135" si="51">(P127+Q127)/2</f>
        <v>3</v>
      </c>
      <c r="N127" s="57">
        <v>36</v>
      </c>
      <c r="O127" s="55"/>
      <c r="P127" s="55">
        <v>2</v>
      </c>
      <c r="Q127" s="55">
        <v>4</v>
      </c>
      <c r="R127" s="111">
        <f t="shared" ref="R127:R135" si="52">_xlfn.EXPON.DIST(P127,0.242130751,TRUE)</f>
        <v>0.38384794415170953</v>
      </c>
      <c r="S127" s="111">
        <f t="shared" ref="S127:S135" si="53">_xlfn.EXPON.DIST(Q127,0.242130751,TRUE)</f>
        <v>0.6203566440739251</v>
      </c>
      <c r="T127" s="111">
        <f t="shared" ref="T127:T135" si="54">S127-R127</f>
        <v>0.23650869992221557</v>
      </c>
      <c r="U127" s="111">
        <f t="shared" ref="U127:U135" si="55">T127*173</f>
        <v>40.916005086543294</v>
      </c>
      <c r="V127" s="112">
        <f t="shared" ref="V127:V135" si="56">N127-U127</f>
        <v>-4.9160050865432936</v>
      </c>
      <c r="W127" s="57">
        <f t="shared" ref="W127:W135" si="57">V127^2</f>
        <v>24.167106010919536</v>
      </c>
      <c r="X127" s="82">
        <f t="shared" ref="X127:X135" si="58">W127/U127</f>
        <v>0.59065165232535766</v>
      </c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5"/>
      <c r="AV127" s="75"/>
      <c r="AW127" s="75"/>
      <c r="AX127" s="75"/>
      <c r="AY127" s="75"/>
      <c r="AZ127" s="75"/>
      <c r="BA127" s="75"/>
    </row>
    <row r="128" spans="1:53" s="3" customFormat="1">
      <c r="A128" s="19">
        <v>0.82777777777777772</v>
      </c>
      <c r="B128" s="19">
        <v>0.82777777777777772</v>
      </c>
      <c r="C128" s="19">
        <v>0.82986111111111116</v>
      </c>
      <c r="D128" s="20" t="s">
        <v>46</v>
      </c>
      <c r="E128" s="20" t="s">
        <v>47</v>
      </c>
      <c r="F128" s="19">
        <f t="shared" si="29"/>
        <v>2.083333333333437E-3</v>
      </c>
      <c r="G128" s="21">
        <f t="shared" si="30"/>
        <v>1192</v>
      </c>
      <c r="H128" s="19">
        <f t="shared" si="31"/>
        <v>2.083333333333437E-3</v>
      </c>
      <c r="I128" s="27">
        <f>HOUR(H128)*60+MINUTE(H128)</f>
        <v>3</v>
      </c>
      <c r="J128" s="21">
        <f t="shared" si="32"/>
        <v>8</v>
      </c>
      <c r="K128" s="28"/>
      <c r="L128" s="81" t="s">
        <v>31</v>
      </c>
      <c r="M128" s="111">
        <f t="shared" si="51"/>
        <v>5</v>
      </c>
      <c r="N128" s="57">
        <v>18</v>
      </c>
      <c r="O128" s="55"/>
      <c r="P128" s="55">
        <v>4</v>
      </c>
      <c r="Q128" s="55">
        <v>6</v>
      </c>
      <c r="R128" s="111">
        <f t="shared" si="52"/>
        <v>0.6203566440739251</v>
      </c>
      <c r="S128" s="111">
        <f t="shared" si="53"/>
        <v>0.76608196575700471</v>
      </c>
      <c r="T128" s="111">
        <f t="shared" si="54"/>
        <v>0.14572532168307961</v>
      </c>
      <c r="U128" s="111">
        <f t="shared" si="55"/>
        <v>25.210480651172773</v>
      </c>
      <c r="V128" s="112">
        <f t="shared" si="56"/>
        <v>-7.210480651172773</v>
      </c>
      <c r="W128" s="57">
        <f t="shared" si="57"/>
        <v>51.991031220936939</v>
      </c>
      <c r="X128" s="82">
        <f t="shared" si="58"/>
        <v>2.0622784603084652</v>
      </c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5"/>
      <c r="AK128" s="75"/>
      <c r="AL128" s="75"/>
      <c r="AM128" s="75"/>
      <c r="AN128" s="75"/>
      <c r="AO128" s="75"/>
      <c r="AP128" s="75"/>
      <c r="AQ128" s="75"/>
      <c r="AR128" s="75"/>
      <c r="AS128" s="75"/>
      <c r="AT128" s="75"/>
      <c r="AU128" s="75"/>
      <c r="AV128" s="75"/>
      <c r="AW128" s="75"/>
      <c r="AX128" s="75"/>
      <c r="AY128" s="75"/>
      <c r="AZ128" s="75"/>
      <c r="BA128" s="75"/>
    </row>
    <row r="129" spans="1:53" s="3" customFormat="1">
      <c r="A129" s="19">
        <v>0.83402777777777781</v>
      </c>
      <c r="B129" s="19">
        <v>0.83402777777777781</v>
      </c>
      <c r="C129" s="19">
        <v>0.83611111111111114</v>
      </c>
      <c r="D129" s="20" t="s">
        <v>46</v>
      </c>
      <c r="E129" s="20" t="s">
        <v>47</v>
      </c>
      <c r="F129" s="19">
        <f t="shared" si="29"/>
        <v>2.0833333333333259E-3</v>
      </c>
      <c r="G129" s="21">
        <f t="shared" si="30"/>
        <v>1201</v>
      </c>
      <c r="H129" s="19">
        <f t="shared" si="31"/>
        <v>2.0833333333333259E-3</v>
      </c>
      <c r="I129" s="27">
        <f>HOUR(H129)*60+MINUTE(H129)</f>
        <v>3</v>
      </c>
      <c r="J129" s="21">
        <f t="shared" si="32"/>
        <v>9</v>
      </c>
      <c r="K129" s="28"/>
      <c r="L129" s="81" t="s">
        <v>32</v>
      </c>
      <c r="M129" s="111">
        <f t="shared" si="51"/>
        <v>7</v>
      </c>
      <c r="N129" s="57">
        <v>15</v>
      </c>
      <c r="O129" s="55"/>
      <c r="P129" s="55">
        <v>6</v>
      </c>
      <c r="Q129" s="55">
        <v>8</v>
      </c>
      <c r="R129" s="111">
        <f t="shared" si="52"/>
        <v>0.76608196575700471</v>
      </c>
      <c r="S129" s="111">
        <f t="shared" si="53"/>
        <v>0.85587092230118766</v>
      </c>
      <c r="T129" s="111">
        <f t="shared" si="54"/>
        <v>8.9788956544182952E-2</v>
      </c>
      <c r="U129" s="111">
        <f t="shared" si="55"/>
        <v>15.533489482143651</v>
      </c>
      <c r="V129" s="112">
        <f t="shared" si="56"/>
        <v>-0.53348948214365066</v>
      </c>
      <c r="W129" s="57">
        <f t="shared" si="57"/>
        <v>0.28461102755790058</v>
      </c>
      <c r="X129" s="82">
        <f t="shared" si="58"/>
        <v>1.8322414154596237E-2</v>
      </c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5"/>
      <c r="AK129" s="75"/>
      <c r="AL129" s="75"/>
      <c r="AM129" s="75"/>
      <c r="AN129" s="75"/>
      <c r="AO129" s="75"/>
      <c r="AP129" s="75"/>
      <c r="AQ129" s="75"/>
      <c r="AR129" s="75"/>
      <c r="AS129" s="75"/>
      <c r="AT129" s="75"/>
      <c r="AU129" s="75"/>
      <c r="AV129" s="75"/>
      <c r="AW129" s="75"/>
      <c r="AX129" s="75"/>
      <c r="AY129" s="75"/>
      <c r="AZ129" s="75"/>
      <c r="BA129" s="75"/>
    </row>
    <row r="130" spans="1:53" s="6" customFormat="1">
      <c r="A130" s="22">
        <v>0.83402777777777781</v>
      </c>
      <c r="B130" s="22">
        <v>0.83402777777777781</v>
      </c>
      <c r="C130" s="22">
        <v>0.83680555555555558</v>
      </c>
      <c r="D130" s="23" t="s">
        <v>48</v>
      </c>
      <c r="E130" s="23" t="s">
        <v>47</v>
      </c>
      <c r="F130" s="22">
        <f t="shared" si="29"/>
        <v>2.7777777777777679E-3</v>
      </c>
      <c r="G130" s="24">
        <f t="shared" si="30"/>
        <v>1201</v>
      </c>
      <c r="H130" s="22">
        <f t="shared" si="31"/>
        <v>2.7777777777777679E-3</v>
      </c>
      <c r="I130" s="27">
        <f>HOUR(H130)*60+MINUTE(H130)</f>
        <v>4</v>
      </c>
      <c r="J130" s="24">
        <f t="shared" si="32"/>
        <v>0</v>
      </c>
      <c r="K130" s="28"/>
      <c r="L130" s="83" t="s">
        <v>33</v>
      </c>
      <c r="M130" s="111">
        <f t="shared" si="51"/>
        <v>9</v>
      </c>
      <c r="N130" s="57">
        <v>12</v>
      </c>
      <c r="O130" s="55"/>
      <c r="P130" s="55">
        <v>8</v>
      </c>
      <c r="Q130" s="55">
        <v>10</v>
      </c>
      <c r="R130" s="111">
        <f t="shared" si="52"/>
        <v>0.85587092230118766</v>
      </c>
      <c r="S130" s="111">
        <f t="shared" si="53"/>
        <v>0.91119457246835878</v>
      </c>
      <c r="T130" s="111">
        <f t="shared" si="54"/>
        <v>5.5323650167171112E-2</v>
      </c>
      <c r="U130" s="111">
        <f t="shared" si="55"/>
        <v>9.5709914789206021</v>
      </c>
      <c r="V130" s="112">
        <f t="shared" si="56"/>
        <v>2.4290085210793979</v>
      </c>
      <c r="W130" s="57">
        <f t="shared" si="57"/>
        <v>5.900082395476324</v>
      </c>
      <c r="X130" s="82">
        <f t="shared" si="58"/>
        <v>0.61645467018446498</v>
      </c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5"/>
      <c r="AV130" s="75"/>
      <c r="AW130" s="75"/>
      <c r="AX130" s="75"/>
      <c r="AY130" s="75"/>
      <c r="AZ130" s="75"/>
      <c r="BA130" s="75"/>
    </row>
    <row r="131" spans="1:53" s="3" customFormat="1">
      <c r="A131" s="19">
        <v>0.83611111111111114</v>
      </c>
      <c r="B131" s="19">
        <v>0.83611111111111114</v>
      </c>
      <c r="C131" s="19">
        <v>0.83958333333333335</v>
      </c>
      <c r="D131" s="20" t="s">
        <v>46</v>
      </c>
      <c r="E131" s="20" t="s">
        <v>47</v>
      </c>
      <c r="F131" s="19">
        <f t="shared" ref="F131:F175" si="59">C131-B131</f>
        <v>3.4722222222222099E-3</v>
      </c>
      <c r="G131" s="21">
        <f t="shared" ref="G131:G175" si="60">HOUR(A131)*60+MINUTE(A131)</f>
        <v>1204</v>
      </c>
      <c r="H131" s="19">
        <f t="shared" ref="H131:H175" si="61">C131-B131</f>
        <v>3.4722222222222099E-3</v>
      </c>
      <c r="I131" s="27">
        <f>HOUR(H131)*60+MINUTE(H131)</f>
        <v>5</v>
      </c>
      <c r="J131" s="21">
        <f t="shared" si="32"/>
        <v>3</v>
      </c>
      <c r="K131" s="28"/>
      <c r="L131" s="81" t="s">
        <v>34</v>
      </c>
      <c r="M131" s="111">
        <f t="shared" si="51"/>
        <v>11</v>
      </c>
      <c r="N131" s="57">
        <v>7</v>
      </c>
      <c r="O131" s="55"/>
      <c r="P131" s="55">
        <v>10</v>
      </c>
      <c r="Q131" s="55">
        <v>12</v>
      </c>
      <c r="R131" s="111">
        <f t="shared" si="52"/>
        <v>0.91119457246835878</v>
      </c>
      <c r="S131" s="111">
        <f t="shared" si="53"/>
        <v>0.94528235325589283</v>
      </c>
      <c r="T131" s="111">
        <f t="shared" si="54"/>
        <v>3.408778078753405E-2</v>
      </c>
      <c r="U131" s="111">
        <f t="shared" si="55"/>
        <v>5.8971860762433908</v>
      </c>
      <c r="V131" s="112">
        <f t="shared" si="56"/>
        <v>1.1028139237566092</v>
      </c>
      <c r="W131" s="57">
        <f t="shared" si="57"/>
        <v>1.2161985504314483</v>
      </c>
      <c r="X131" s="82">
        <f t="shared" si="58"/>
        <v>0.20623370785786493</v>
      </c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5"/>
      <c r="AK131" s="75"/>
      <c r="AL131" s="75"/>
      <c r="AM131" s="75"/>
      <c r="AN131" s="75"/>
      <c r="AO131" s="75"/>
      <c r="AP131" s="75"/>
      <c r="AQ131" s="75"/>
      <c r="AR131" s="75"/>
      <c r="AS131" s="75"/>
      <c r="AT131" s="75"/>
      <c r="AU131" s="75"/>
      <c r="AV131" s="75"/>
      <c r="AW131" s="75"/>
      <c r="AX131" s="75"/>
      <c r="AY131" s="75"/>
      <c r="AZ131" s="75"/>
      <c r="BA131" s="75"/>
    </row>
    <row r="132" spans="1:53" s="6" customFormat="1">
      <c r="A132" s="22">
        <v>0.83750000000000002</v>
      </c>
      <c r="B132" s="22">
        <v>0.83750000000000002</v>
      </c>
      <c r="C132" s="22">
        <v>0.84791666666666665</v>
      </c>
      <c r="D132" s="23" t="s">
        <v>48</v>
      </c>
      <c r="E132" s="23" t="s">
        <v>47</v>
      </c>
      <c r="F132" s="22">
        <f t="shared" si="59"/>
        <v>1.041666666666663E-2</v>
      </c>
      <c r="G132" s="24">
        <f t="shared" si="60"/>
        <v>1206</v>
      </c>
      <c r="H132" s="22">
        <f t="shared" si="61"/>
        <v>1.041666666666663E-2</v>
      </c>
      <c r="I132" s="27">
        <f>HOUR(H132)*60+MINUTE(H132)</f>
        <v>15</v>
      </c>
      <c r="J132" s="24">
        <f t="shared" ref="J132:J174" si="62">G132-G131</f>
        <v>2</v>
      </c>
      <c r="K132" s="28"/>
      <c r="L132" s="114" t="s">
        <v>35</v>
      </c>
      <c r="M132" s="111">
        <f t="shared" si="51"/>
        <v>13</v>
      </c>
      <c r="N132" s="116">
        <v>2</v>
      </c>
      <c r="O132" s="115"/>
      <c r="P132" s="115">
        <v>12</v>
      </c>
      <c r="Q132" s="115">
        <v>14</v>
      </c>
      <c r="R132" s="111">
        <f t="shared" si="52"/>
        <v>0.94528235325589283</v>
      </c>
      <c r="S132" s="111">
        <f t="shared" si="53"/>
        <v>0.96628560946743791</v>
      </c>
      <c r="T132" s="111">
        <f t="shared" si="54"/>
        <v>2.1003256211545085E-2</v>
      </c>
      <c r="U132" s="111">
        <f t="shared" si="55"/>
        <v>3.6335633245972998</v>
      </c>
      <c r="V132" s="112">
        <f t="shared" si="56"/>
        <v>-1.6335633245972998</v>
      </c>
      <c r="W132" s="116">
        <f t="shared" si="57"/>
        <v>2.6685291354693832</v>
      </c>
      <c r="X132" s="117">
        <f t="shared" si="58"/>
        <v>0.7344110717446023</v>
      </c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  <c r="AK132" s="75"/>
      <c r="AL132" s="75"/>
      <c r="AM132" s="75"/>
      <c r="AN132" s="75"/>
      <c r="AO132" s="75"/>
      <c r="AP132" s="75"/>
      <c r="AQ132" s="75"/>
      <c r="AR132" s="75"/>
      <c r="AS132" s="75"/>
      <c r="AT132" s="75"/>
      <c r="AU132" s="75"/>
      <c r="AV132" s="75"/>
      <c r="AW132" s="75"/>
      <c r="AX132" s="75"/>
      <c r="AY132" s="75"/>
      <c r="AZ132" s="75"/>
      <c r="BA132" s="75"/>
    </row>
    <row r="133" spans="1:53" s="3" customFormat="1">
      <c r="A133" s="19">
        <v>0.83888888888888891</v>
      </c>
      <c r="B133" s="19">
        <v>0.83958333333333335</v>
      </c>
      <c r="C133" s="19">
        <v>0.84166666666666667</v>
      </c>
      <c r="D133" s="20" t="s">
        <v>46</v>
      </c>
      <c r="E133" s="20" t="s">
        <v>47</v>
      </c>
      <c r="F133" s="19">
        <f t="shared" si="59"/>
        <v>2.0833333333333259E-3</v>
      </c>
      <c r="G133" s="21">
        <f t="shared" si="60"/>
        <v>1208</v>
      </c>
      <c r="H133" s="19">
        <f t="shared" si="61"/>
        <v>2.0833333333333259E-3</v>
      </c>
      <c r="I133" s="27">
        <f>HOUR(H133)*60+MINUTE(H133)</f>
        <v>3</v>
      </c>
      <c r="J133" s="21">
        <f t="shared" si="62"/>
        <v>2</v>
      </c>
      <c r="K133" s="28"/>
      <c r="L133" s="16" t="s">
        <v>71</v>
      </c>
      <c r="M133" s="111">
        <f t="shared" si="51"/>
        <v>15</v>
      </c>
      <c r="N133" s="122">
        <v>3</v>
      </c>
      <c r="O133" s="16"/>
      <c r="P133" s="16">
        <v>14</v>
      </c>
      <c r="Q133" s="16">
        <v>16</v>
      </c>
      <c r="R133" s="111">
        <f>_xlfn.EXPON.DIST(P133,0.242130751,TRUE)</f>
        <v>0.96628560946743791</v>
      </c>
      <c r="S133" s="111">
        <f t="shared" si="53"/>
        <v>0.97922680896168968</v>
      </c>
      <c r="T133" s="111">
        <f t="shared" si="54"/>
        <v>1.2941199494251765E-2</v>
      </c>
      <c r="U133" s="111">
        <f t="shared" si="55"/>
        <v>2.2388275125055555</v>
      </c>
      <c r="V133" s="112">
        <f t="shared" si="56"/>
        <v>0.76117248749444455</v>
      </c>
      <c r="W133" s="116">
        <f t="shared" si="57"/>
        <v>0.57938355571848033</v>
      </c>
      <c r="X133" s="117">
        <f t="shared" si="58"/>
        <v>0.2587888314227792</v>
      </c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5"/>
      <c r="AK133" s="75"/>
      <c r="AL133" s="75"/>
      <c r="AM133" s="75"/>
      <c r="AN133" s="75"/>
      <c r="AO133" s="75"/>
      <c r="AP133" s="75"/>
      <c r="AQ133" s="75"/>
      <c r="AR133" s="75"/>
      <c r="AS133" s="75"/>
      <c r="AT133" s="75"/>
      <c r="AU133" s="75"/>
      <c r="AV133" s="75"/>
      <c r="AW133" s="75"/>
      <c r="AX133" s="75"/>
      <c r="AY133" s="75"/>
      <c r="AZ133" s="75"/>
      <c r="BA133" s="75"/>
    </row>
    <row r="134" spans="1:53" s="3" customFormat="1">
      <c r="A134" s="19">
        <v>0.83888888888888891</v>
      </c>
      <c r="B134" s="19">
        <v>0.84166666666666667</v>
      </c>
      <c r="C134" s="19">
        <v>0.84305555555555556</v>
      </c>
      <c r="D134" s="20" t="s">
        <v>46</v>
      </c>
      <c r="E134" s="20" t="s">
        <v>47</v>
      </c>
      <c r="F134" s="19">
        <f t="shared" si="59"/>
        <v>1.388888888888884E-3</v>
      </c>
      <c r="G134" s="21">
        <f t="shared" si="60"/>
        <v>1208</v>
      </c>
      <c r="H134" s="19">
        <f t="shared" si="61"/>
        <v>1.388888888888884E-3</v>
      </c>
      <c r="I134" s="27">
        <f>HOUR(H134)*60+MINUTE(H134)</f>
        <v>2</v>
      </c>
      <c r="J134" s="21">
        <f t="shared" si="62"/>
        <v>0</v>
      </c>
      <c r="K134" s="28"/>
      <c r="L134" s="123" t="s">
        <v>72</v>
      </c>
      <c r="M134" s="111">
        <f t="shared" si="51"/>
        <v>17</v>
      </c>
      <c r="N134" s="123">
        <v>0</v>
      </c>
      <c r="O134" s="123"/>
      <c r="P134" s="123">
        <v>16</v>
      </c>
      <c r="Q134" s="123">
        <v>18</v>
      </c>
      <c r="R134" s="111">
        <f>_xlfn.EXPON.DIST(P134,0.242130751,TRUE)</f>
        <v>0.97922680896168968</v>
      </c>
      <c r="S134" s="111">
        <f>_xlfn.EXPON.DIST(Q134,0.242130751,TRUE)</f>
        <v>0.9872005556352158</v>
      </c>
      <c r="T134" s="111">
        <f>S134-R134</f>
        <v>7.9737466735261275E-3</v>
      </c>
      <c r="U134" s="111">
        <f t="shared" si="55"/>
        <v>1.3794581745200201</v>
      </c>
      <c r="V134" s="112">
        <f t="shared" si="56"/>
        <v>-1.3794581745200201</v>
      </c>
      <c r="W134" s="116">
        <f t="shared" si="57"/>
        <v>1.9029048552501062</v>
      </c>
      <c r="X134" s="117">
        <f t="shared" si="58"/>
        <v>1.3794581745200201</v>
      </c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5"/>
      <c r="AK134" s="75"/>
      <c r="AL134" s="75"/>
      <c r="AM134" s="75"/>
      <c r="AN134" s="75"/>
      <c r="AO134" s="75"/>
      <c r="AP134" s="75"/>
      <c r="AQ134" s="75"/>
      <c r="AR134" s="75"/>
      <c r="AS134" s="75"/>
      <c r="AT134" s="75"/>
      <c r="AU134" s="75"/>
      <c r="AV134" s="75"/>
      <c r="AW134" s="75"/>
      <c r="AX134" s="75"/>
      <c r="AY134" s="75"/>
      <c r="AZ134" s="75"/>
      <c r="BA134" s="75"/>
    </row>
    <row r="135" spans="1:53" s="3" customFormat="1">
      <c r="A135" s="19">
        <v>0.84027777777777779</v>
      </c>
      <c r="B135" s="19">
        <v>0.84305555555555556</v>
      </c>
      <c r="C135" s="19">
        <v>0.84722222222222221</v>
      </c>
      <c r="D135" s="20" t="s">
        <v>46</v>
      </c>
      <c r="E135" s="20" t="s">
        <v>47</v>
      </c>
      <c r="F135" s="19">
        <f t="shared" si="59"/>
        <v>4.1666666666666519E-3</v>
      </c>
      <c r="G135" s="21">
        <f t="shared" si="60"/>
        <v>1210</v>
      </c>
      <c r="H135" s="19">
        <f t="shared" si="61"/>
        <v>4.1666666666666519E-3</v>
      </c>
      <c r="I135" s="27">
        <f>HOUR(H135)*60+MINUTE(H135)</f>
        <v>6</v>
      </c>
      <c r="J135" s="21">
        <f t="shared" si="62"/>
        <v>2</v>
      </c>
      <c r="K135" s="28"/>
      <c r="L135" s="16" t="s">
        <v>73</v>
      </c>
      <c r="M135" s="111">
        <f t="shared" si="51"/>
        <v>19</v>
      </c>
      <c r="N135" s="16">
        <v>2</v>
      </c>
      <c r="O135" s="16"/>
      <c r="P135" s="16">
        <v>18</v>
      </c>
      <c r="Q135" s="16">
        <v>20</v>
      </c>
      <c r="R135" s="111">
        <f t="shared" si="52"/>
        <v>0.9872005556352158</v>
      </c>
      <c r="S135" s="111">
        <f t="shared" si="53"/>
        <v>0.99211359604092242</v>
      </c>
      <c r="T135" s="111">
        <f t="shared" si="54"/>
        <v>4.9130404057066146E-3</v>
      </c>
      <c r="U135" s="111">
        <f t="shared" si="55"/>
        <v>0.84995599018724433</v>
      </c>
      <c r="V135" s="112">
        <f t="shared" si="56"/>
        <v>1.1500440098127558</v>
      </c>
      <c r="W135" s="116">
        <f t="shared" si="57"/>
        <v>1.322601224506202</v>
      </c>
      <c r="X135" s="117">
        <f t="shared" si="58"/>
        <v>1.5560820086871021</v>
      </c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5"/>
      <c r="AK135" s="75"/>
      <c r="AL135" s="75"/>
      <c r="AM135" s="75"/>
      <c r="AN135" s="75"/>
      <c r="AO135" s="75"/>
      <c r="AP135" s="75"/>
      <c r="AQ135" s="75"/>
      <c r="AR135" s="75"/>
      <c r="AS135" s="75"/>
      <c r="AT135" s="75"/>
      <c r="AU135" s="75"/>
      <c r="AV135" s="75"/>
      <c r="AW135" s="75"/>
      <c r="AX135" s="75"/>
      <c r="AY135" s="75"/>
      <c r="AZ135" s="75"/>
      <c r="BA135" s="75"/>
    </row>
    <row r="136" spans="1:53" s="3" customFormat="1">
      <c r="A136" s="19">
        <v>0.84930555555555554</v>
      </c>
      <c r="B136" s="19">
        <v>0.84930555555555554</v>
      </c>
      <c r="C136" s="19">
        <v>0.85</v>
      </c>
      <c r="D136" s="20" t="s">
        <v>46</v>
      </c>
      <c r="E136" s="20" t="s">
        <v>47</v>
      </c>
      <c r="F136" s="19">
        <f t="shared" si="59"/>
        <v>6.9444444444444198E-4</v>
      </c>
      <c r="G136" s="21">
        <f t="shared" si="60"/>
        <v>1223</v>
      </c>
      <c r="H136" s="19">
        <f t="shared" si="61"/>
        <v>6.9444444444444198E-4</v>
      </c>
      <c r="I136" s="27">
        <f>HOUR(H136)*60+MINUTE(H136)</f>
        <v>1</v>
      </c>
      <c r="J136" s="21">
        <f t="shared" si="62"/>
        <v>13</v>
      </c>
      <c r="K136" s="28"/>
      <c r="L136" s="28"/>
      <c r="M136" s="28"/>
      <c r="N136" s="28">
        <v>0</v>
      </c>
      <c r="O136" s="28"/>
      <c r="P136" s="28"/>
      <c r="Q136" s="28"/>
      <c r="R136" s="28"/>
      <c r="S136" s="28"/>
      <c r="T136" s="28"/>
      <c r="U136" s="28"/>
      <c r="V136" s="28"/>
      <c r="W136" s="28"/>
      <c r="X136" s="28" t="e">
        <f ca="1">SUM(X126:X136)</f>
        <v>#DIV/0!</v>
      </c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5"/>
      <c r="AK136" s="75"/>
      <c r="AL136" s="75"/>
      <c r="AM136" s="75"/>
      <c r="AN136" s="75"/>
      <c r="AO136" s="75"/>
      <c r="AP136" s="75"/>
      <c r="AQ136" s="75"/>
      <c r="AR136" s="75"/>
      <c r="AS136" s="75"/>
      <c r="AT136" s="75"/>
      <c r="AU136" s="75"/>
      <c r="AV136" s="75"/>
      <c r="AW136" s="75"/>
      <c r="AX136" s="75"/>
      <c r="AY136" s="75"/>
      <c r="AZ136" s="75"/>
      <c r="BA136" s="75"/>
    </row>
    <row r="137" spans="1:53" s="3" customFormat="1">
      <c r="A137" s="19">
        <v>0.85069444444444442</v>
      </c>
      <c r="B137" s="19">
        <v>0.85069444444444442</v>
      </c>
      <c r="C137" s="19">
        <v>0.8520833333333333</v>
      </c>
      <c r="D137" s="20" t="s">
        <v>46</v>
      </c>
      <c r="E137" s="20" t="s">
        <v>47</v>
      </c>
      <c r="F137" s="19">
        <f t="shared" si="59"/>
        <v>1.388888888888884E-3</v>
      </c>
      <c r="G137" s="21">
        <f t="shared" si="60"/>
        <v>1225</v>
      </c>
      <c r="H137" s="19">
        <f t="shared" si="61"/>
        <v>1.388888888888884E-3</v>
      </c>
      <c r="I137" s="27">
        <f>HOUR(H137)*60+MINUTE(H137)</f>
        <v>2</v>
      </c>
      <c r="J137" s="21">
        <f t="shared" si="62"/>
        <v>2</v>
      </c>
      <c r="K137" s="28"/>
      <c r="L137" s="28"/>
      <c r="M137" s="28"/>
      <c r="N137" s="29">
        <f>SUM(N126:N135)</f>
        <v>173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5"/>
      <c r="AK137" s="75"/>
      <c r="AL137" s="75"/>
      <c r="AM137" s="75"/>
      <c r="AN137" s="75"/>
      <c r="AO137" s="75"/>
      <c r="AP137" s="75"/>
      <c r="AQ137" s="75"/>
      <c r="AR137" s="75"/>
      <c r="AS137" s="75"/>
      <c r="AT137" s="75"/>
      <c r="AU137" s="75"/>
      <c r="AV137" s="75"/>
      <c r="AW137" s="75"/>
      <c r="AX137" s="75"/>
      <c r="AY137" s="75"/>
      <c r="AZ137" s="75"/>
      <c r="BA137" s="75"/>
    </row>
    <row r="138" spans="1:53" s="3" customFormat="1">
      <c r="A138" s="19">
        <v>0.85277777777777775</v>
      </c>
      <c r="B138" s="19">
        <v>0.85277777777777775</v>
      </c>
      <c r="C138" s="19">
        <v>0.85277777777777775</v>
      </c>
      <c r="D138" s="20" t="s">
        <v>46</v>
      </c>
      <c r="E138" s="20" t="s">
        <v>47</v>
      </c>
      <c r="F138" s="19">
        <f t="shared" si="59"/>
        <v>0</v>
      </c>
      <c r="G138" s="21">
        <f t="shared" si="60"/>
        <v>1228</v>
      </c>
      <c r="H138" s="19">
        <f t="shared" si="61"/>
        <v>0</v>
      </c>
      <c r="I138" s="27">
        <f>HOUR(H138)*60+MINUTE(H138)</f>
        <v>0</v>
      </c>
      <c r="J138" s="21">
        <f t="shared" si="62"/>
        <v>3</v>
      </c>
      <c r="K138" s="28"/>
      <c r="L138" s="28"/>
      <c r="M138" s="28" t="s">
        <v>74</v>
      </c>
      <c r="N138" s="28">
        <v>15.507</v>
      </c>
      <c r="O138" s="28" t="s">
        <v>75</v>
      </c>
      <c r="P138" s="28"/>
      <c r="Q138" s="28"/>
      <c r="R138" s="28"/>
      <c r="S138" s="28"/>
      <c r="T138" s="28"/>
      <c r="U138" s="28"/>
      <c r="V138" s="28"/>
      <c r="W138" s="28"/>
      <c r="X138" s="28">
        <f>SUM(X126:X135)</f>
        <v>9.4470243117262473</v>
      </c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75"/>
      <c r="AM138" s="75"/>
      <c r="AN138" s="75"/>
      <c r="AO138" s="75"/>
      <c r="AP138" s="75"/>
      <c r="AQ138" s="75"/>
      <c r="AR138" s="75"/>
      <c r="AS138" s="75"/>
      <c r="AT138" s="75"/>
      <c r="AU138" s="75"/>
      <c r="AV138" s="75"/>
      <c r="AW138" s="75"/>
      <c r="AX138" s="75"/>
      <c r="AY138" s="75"/>
      <c r="AZ138" s="75"/>
      <c r="BA138" s="75"/>
    </row>
    <row r="139" spans="1:53" s="3" customFormat="1">
      <c r="A139" s="19">
        <v>0.85624999999999996</v>
      </c>
      <c r="B139" s="19">
        <v>0.85624999999999996</v>
      </c>
      <c r="C139" s="19">
        <v>0.8569444444444444</v>
      </c>
      <c r="D139" s="20" t="s">
        <v>46</v>
      </c>
      <c r="E139" s="20" t="s">
        <v>47</v>
      </c>
      <c r="F139" s="19">
        <f t="shared" si="59"/>
        <v>6.9444444444444198E-4</v>
      </c>
      <c r="G139" s="21">
        <f t="shared" si="60"/>
        <v>1233</v>
      </c>
      <c r="H139" s="19">
        <f t="shared" si="61"/>
        <v>6.9444444444444198E-4</v>
      </c>
      <c r="I139" s="27">
        <f>HOUR(H139)*60+MINUTE(H139)</f>
        <v>1</v>
      </c>
      <c r="J139" s="21">
        <f t="shared" si="62"/>
        <v>5</v>
      </c>
      <c r="K139" s="28"/>
      <c r="L139" s="30" t="s">
        <v>36</v>
      </c>
      <c r="M139" s="31"/>
      <c r="N139" s="31">
        <f>SUM(N126:N132)</f>
        <v>168</v>
      </c>
      <c r="O139" s="31">
        <f>SUM(O126:O132)</f>
        <v>0</v>
      </c>
      <c r="P139" s="32"/>
      <c r="Q139" s="32"/>
      <c r="R139" s="31"/>
      <c r="S139" s="31"/>
      <c r="T139" s="31"/>
      <c r="U139" s="31"/>
      <c r="V139" s="31"/>
      <c r="W139" s="31"/>
      <c r="X139" s="31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75"/>
      <c r="AM139" s="75"/>
      <c r="AN139" s="75"/>
      <c r="AO139" s="75"/>
      <c r="AP139" s="75"/>
      <c r="AQ139" s="75"/>
      <c r="AR139" s="75"/>
      <c r="AS139" s="75"/>
      <c r="AT139" s="75"/>
      <c r="AU139" s="75"/>
      <c r="AV139" s="75"/>
      <c r="AW139" s="75"/>
      <c r="AX139" s="75"/>
      <c r="AY139" s="75"/>
      <c r="AZ139" s="75"/>
      <c r="BA139" s="75"/>
    </row>
    <row r="140" spans="1:53" s="3" customFormat="1">
      <c r="A140" s="19">
        <v>0.85763888888888884</v>
      </c>
      <c r="B140" s="19">
        <v>0.85763888888888884</v>
      </c>
      <c r="C140" s="19">
        <v>0.86736111111111114</v>
      </c>
      <c r="D140" s="20" t="s">
        <v>46</v>
      </c>
      <c r="E140" s="20" t="s">
        <v>47</v>
      </c>
      <c r="F140" s="19">
        <f t="shared" si="59"/>
        <v>9.7222222222222987E-3</v>
      </c>
      <c r="G140" s="21">
        <f t="shared" si="60"/>
        <v>1235</v>
      </c>
      <c r="H140" s="19">
        <f t="shared" si="61"/>
        <v>9.7222222222222987E-3</v>
      </c>
      <c r="I140" s="27">
        <f>HOUR(H140)*60+MINUTE(H140)</f>
        <v>14</v>
      </c>
      <c r="J140" s="21">
        <f t="shared" si="62"/>
        <v>2</v>
      </c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75"/>
      <c r="AM140" s="75"/>
      <c r="AN140" s="75"/>
      <c r="AO140" s="75"/>
      <c r="AP140" s="75"/>
      <c r="AQ140" s="75"/>
      <c r="AR140" s="75"/>
      <c r="AS140" s="75"/>
      <c r="AT140" s="75"/>
      <c r="AU140" s="75"/>
      <c r="AV140" s="75"/>
      <c r="AW140" s="75"/>
      <c r="AX140" s="75"/>
      <c r="AY140" s="75"/>
      <c r="AZ140" s="75"/>
      <c r="BA140" s="75"/>
    </row>
    <row r="141" spans="1:53" s="3" customFormat="1">
      <c r="A141" s="19">
        <v>0.86875000000000002</v>
      </c>
      <c r="B141" s="19">
        <v>0.86875000000000002</v>
      </c>
      <c r="C141" s="19">
        <v>0.87430555555555556</v>
      </c>
      <c r="D141" s="20" t="s">
        <v>46</v>
      </c>
      <c r="E141" s="20" t="s">
        <v>47</v>
      </c>
      <c r="F141" s="19">
        <f t="shared" si="59"/>
        <v>5.5555555555555358E-3</v>
      </c>
      <c r="G141" s="21">
        <f t="shared" si="60"/>
        <v>1251</v>
      </c>
      <c r="H141" s="19">
        <f t="shared" si="61"/>
        <v>5.5555555555555358E-3</v>
      </c>
      <c r="I141" s="27">
        <f>HOUR(H141)*60+MINUTE(H141)</f>
        <v>8</v>
      </c>
      <c r="J141" s="21">
        <f t="shared" si="62"/>
        <v>16</v>
      </c>
      <c r="K141" s="28"/>
      <c r="L141" s="28" t="s">
        <v>76</v>
      </c>
      <c r="M141" s="18">
        <v>4.13</v>
      </c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5"/>
      <c r="AK141" s="75"/>
      <c r="AL141" s="75"/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75"/>
      <c r="BA141" s="75"/>
    </row>
    <row r="142" spans="1:53" s="3" customFormat="1">
      <c r="A142" s="19">
        <v>0.87916666666666665</v>
      </c>
      <c r="B142" s="19">
        <v>0.87916666666666665</v>
      </c>
      <c r="C142" s="19">
        <v>0.88263888888888886</v>
      </c>
      <c r="D142" s="20" t="s">
        <v>46</v>
      </c>
      <c r="E142" s="20" t="s">
        <v>47</v>
      </c>
      <c r="F142" s="19">
        <f t="shared" si="59"/>
        <v>3.4722222222222099E-3</v>
      </c>
      <c r="G142" s="21">
        <f t="shared" si="60"/>
        <v>1266</v>
      </c>
      <c r="H142" s="19">
        <f t="shared" si="61"/>
        <v>3.4722222222222099E-3</v>
      </c>
      <c r="I142" s="27">
        <f>HOUR(H142)*60+MINUTE(H142)</f>
        <v>5</v>
      </c>
      <c r="J142" s="21">
        <f t="shared" si="62"/>
        <v>15</v>
      </c>
      <c r="K142" s="28"/>
      <c r="L142" s="28" t="s">
        <v>77</v>
      </c>
      <c r="M142" s="28">
        <f>1/M141</f>
        <v>0.24213075060532688</v>
      </c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75"/>
      <c r="BA142" s="75"/>
    </row>
    <row r="143" spans="1:53" s="6" customFormat="1">
      <c r="A143" s="22">
        <v>0.88055555555555554</v>
      </c>
      <c r="B143" s="22">
        <v>0.88055555555555554</v>
      </c>
      <c r="C143" s="22">
        <v>0.88194444444444442</v>
      </c>
      <c r="D143" s="23" t="s">
        <v>48</v>
      </c>
      <c r="E143" s="23" t="s">
        <v>47</v>
      </c>
      <c r="F143" s="22">
        <f t="shared" si="59"/>
        <v>1.388888888888884E-3</v>
      </c>
      <c r="G143" s="24">
        <f t="shared" si="60"/>
        <v>1268</v>
      </c>
      <c r="H143" s="22">
        <f t="shared" si="61"/>
        <v>1.388888888888884E-3</v>
      </c>
      <c r="I143" s="27">
        <f>HOUR(H143)*60+MINUTE(H143)</f>
        <v>2</v>
      </c>
      <c r="J143" s="24">
        <f t="shared" si="62"/>
        <v>2</v>
      </c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  <c r="AK143" s="75"/>
      <c r="AL143" s="75"/>
      <c r="AM143" s="75"/>
      <c r="AN143" s="75"/>
      <c r="AO143" s="75"/>
      <c r="AP143" s="75"/>
      <c r="AQ143" s="75"/>
      <c r="AR143" s="75"/>
      <c r="AS143" s="75"/>
      <c r="AT143" s="75"/>
      <c r="AU143" s="75"/>
      <c r="AV143" s="75"/>
      <c r="AW143" s="75"/>
      <c r="AX143" s="75"/>
      <c r="AY143" s="75"/>
      <c r="AZ143" s="75"/>
      <c r="BA143" s="75"/>
    </row>
    <row r="144" spans="1:53" s="6" customFormat="1">
      <c r="A144" s="22">
        <v>0.88263888888888886</v>
      </c>
      <c r="B144" s="22">
        <v>0.88263888888888886</v>
      </c>
      <c r="C144" s="22">
        <v>0.88263888888888886</v>
      </c>
      <c r="D144" s="23" t="s">
        <v>48</v>
      </c>
      <c r="E144" s="23" t="s">
        <v>47</v>
      </c>
      <c r="F144" s="22">
        <f t="shared" si="59"/>
        <v>0</v>
      </c>
      <c r="G144" s="24">
        <f t="shared" si="60"/>
        <v>1271</v>
      </c>
      <c r="H144" s="22">
        <f t="shared" si="61"/>
        <v>0</v>
      </c>
      <c r="I144" s="27">
        <f>HOUR(H144)*60+MINUTE(H144)</f>
        <v>0</v>
      </c>
      <c r="J144" s="24">
        <f t="shared" si="62"/>
        <v>3</v>
      </c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  <c r="AK144" s="75"/>
      <c r="AL144" s="75"/>
      <c r="AM144" s="75"/>
      <c r="AN144" s="75"/>
      <c r="AO144" s="75"/>
      <c r="AP144" s="75"/>
      <c r="AQ144" s="75"/>
      <c r="AR144" s="75"/>
      <c r="AS144" s="75"/>
      <c r="AT144" s="75"/>
      <c r="AU144" s="75"/>
      <c r="AV144" s="75"/>
      <c r="AW144" s="75"/>
      <c r="AX144" s="75"/>
      <c r="AY144" s="75"/>
      <c r="AZ144" s="75"/>
      <c r="BA144" s="75"/>
    </row>
    <row r="145" spans="1:53" s="3" customFormat="1">
      <c r="A145" s="19">
        <v>0.8833333333333333</v>
      </c>
      <c r="B145" s="19">
        <v>0.8833333333333333</v>
      </c>
      <c r="C145" s="19">
        <v>0.88402777777777775</v>
      </c>
      <c r="D145" s="20" t="s">
        <v>46</v>
      </c>
      <c r="E145" s="20" t="s">
        <v>47</v>
      </c>
      <c r="F145" s="19">
        <f t="shared" si="59"/>
        <v>6.9444444444444198E-4</v>
      </c>
      <c r="G145" s="21">
        <f t="shared" si="60"/>
        <v>1272</v>
      </c>
      <c r="H145" s="19">
        <f t="shared" si="61"/>
        <v>6.9444444444444198E-4</v>
      </c>
      <c r="I145" s="27">
        <f>HOUR(H145)*60+MINUTE(H145)</f>
        <v>1</v>
      </c>
      <c r="J145" s="21">
        <f t="shared" si="62"/>
        <v>1</v>
      </c>
      <c r="K145" s="28"/>
      <c r="L145" s="28"/>
      <c r="M145" s="133" t="s">
        <v>68</v>
      </c>
      <c r="N145" s="28" t="s">
        <v>70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75"/>
      <c r="AR145" s="75"/>
      <c r="AS145" s="75"/>
      <c r="AT145" s="75"/>
      <c r="AU145" s="75"/>
      <c r="AV145" s="75"/>
      <c r="AW145" s="75"/>
      <c r="AX145" s="75"/>
      <c r="AY145" s="75"/>
      <c r="AZ145" s="75"/>
      <c r="BA145" s="75"/>
    </row>
    <row r="146" spans="1:53" s="3" customFormat="1">
      <c r="A146" s="19">
        <v>0.88472222222222219</v>
      </c>
      <c r="B146" s="19">
        <v>0.88472222222222219</v>
      </c>
      <c r="C146" s="19">
        <v>0.88541666666666663</v>
      </c>
      <c r="D146" s="20" t="s">
        <v>46</v>
      </c>
      <c r="E146" s="20" t="s">
        <v>47</v>
      </c>
      <c r="F146" s="19">
        <f t="shared" si="59"/>
        <v>6.9444444444444198E-4</v>
      </c>
      <c r="G146" s="21">
        <f t="shared" si="60"/>
        <v>1274</v>
      </c>
      <c r="H146" s="19">
        <f t="shared" si="61"/>
        <v>6.9444444444444198E-4</v>
      </c>
      <c r="I146" s="27">
        <f>HOUR(H146)*60+MINUTE(H146)</f>
        <v>1</v>
      </c>
      <c r="J146" s="21">
        <f t="shared" si="62"/>
        <v>2</v>
      </c>
      <c r="K146" s="28"/>
      <c r="L146" s="75"/>
      <c r="M146" s="12" t="s">
        <v>16</v>
      </c>
      <c r="N146" s="14" t="s">
        <v>18</v>
      </c>
      <c r="O146" s="12"/>
      <c r="P146" s="12" t="s">
        <v>20</v>
      </c>
      <c r="Q146" s="12" t="s">
        <v>21</v>
      </c>
      <c r="R146" s="12" t="s">
        <v>22</v>
      </c>
      <c r="S146" s="12" t="s">
        <v>23</v>
      </c>
      <c r="T146" s="12" t="s">
        <v>24</v>
      </c>
      <c r="U146" s="12" t="s">
        <v>25</v>
      </c>
      <c r="V146" s="12" t="s">
        <v>26</v>
      </c>
      <c r="W146" s="12" t="s">
        <v>27</v>
      </c>
      <c r="X146" s="12" t="s">
        <v>28</v>
      </c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75"/>
      <c r="AN146" s="75"/>
      <c r="AO146" s="75"/>
      <c r="AP146" s="75"/>
      <c r="AQ146" s="75"/>
      <c r="AR146" s="75"/>
      <c r="AS146" s="75"/>
      <c r="AT146" s="75"/>
      <c r="AU146" s="75"/>
      <c r="AV146" s="75"/>
      <c r="AW146" s="75"/>
      <c r="AX146" s="75"/>
      <c r="AY146" s="75"/>
      <c r="AZ146" s="75"/>
      <c r="BA146" s="75"/>
    </row>
    <row r="147" spans="1:53" s="6" customFormat="1">
      <c r="A147" s="22">
        <v>0.88472222222222219</v>
      </c>
      <c r="B147" s="22">
        <v>0.88472222222222219</v>
      </c>
      <c r="C147" s="22">
        <v>0.88680555555555551</v>
      </c>
      <c r="D147" s="23" t="s">
        <v>48</v>
      </c>
      <c r="E147" s="23" t="s">
        <v>47</v>
      </c>
      <c r="F147" s="22">
        <f t="shared" si="59"/>
        <v>2.0833333333333259E-3</v>
      </c>
      <c r="G147" s="24">
        <f t="shared" si="60"/>
        <v>1274</v>
      </c>
      <c r="H147" s="22">
        <f t="shared" si="61"/>
        <v>2.0833333333333259E-3</v>
      </c>
      <c r="I147" s="27">
        <f>HOUR(H147)*60+MINUTE(H147)</f>
        <v>3</v>
      </c>
      <c r="J147" s="24">
        <f t="shared" si="62"/>
        <v>0</v>
      </c>
      <c r="K147" s="28"/>
      <c r="L147" s="75"/>
      <c r="M147" s="55" t="s">
        <v>29</v>
      </c>
      <c r="N147" s="57" cm="1">
        <f t="array" ref="N147:N156">FREQUENCY(I2:I175,Q147:Q155)</f>
        <v>77</v>
      </c>
      <c r="O147" s="55"/>
      <c r="P147" s="55">
        <v>0</v>
      </c>
      <c r="Q147" s="55">
        <v>2</v>
      </c>
      <c r="R147" s="124">
        <f>_xlfn.EXPON.DIST(P147,0.254758419,TRUE)</f>
        <v>0</v>
      </c>
      <c r="S147" s="124">
        <f>_xlfn.EXPON.DIST(Q147,0.254758419,TRUE)</f>
        <v>0.39921421444009331</v>
      </c>
      <c r="T147" s="55">
        <f>S147-R147</f>
        <v>0.39921421444009331</v>
      </c>
      <c r="U147" s="55">
        <f>T147*173</f>
        <v>69.064059098136141</v>
      </c>
      <c r="V147" s="57">
        <f>N147-U147</f>
        <v>7.9359409018638587</v>
      </c>
      <c r="W147" s="57">
        <f>V147^2</f>
        <v>62.979157997875753</v>
      </c>
      <c r="X147" s="55">
        <f>W147/U147</f>
        <v>0.91189482373727715</v>
      </c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5"/>
      <c r="AK147" s="75"/>
      <c r="AL147" s="75"/>
      <c r="AM147" s="75"/>
      <c r="AN147" s="75"/>
      <c r="AO147" s="75"/>
      <c r="AP147" s="75"/>
      <c r="AQ147" s="75"/>
      <c r="AR147" s="75"/>
      <c r="AS147" s="75"/>
      <c r="AT147" s="75"/>
      <c r="AU147" s="75"/>
      <c r="AV147" s="75"/>
      <c r="AW147" s="75"/>
      <c r="AX147" s="75"/>
      <c r="AY147" s="75"/>
      <c r="AZ147" s="75"/>
      <c r="BA147" s="75"/>
    </row>
    <row r="148" spans="1:53" s="3" customFormat="1">
      <c r="A148" s="19">
        <v>0.88749999999999996</v>
      </c>
      <c r="B148" s="19">
        <v>0.88749999999999996</v>
      </c>
      <c r="C148" s="19">
        <v>0.89097222222222228</v>
      </c>
      <c r="D148" s="20" t="s">
        <v>46</v>
      </c>
      <c r="E148" s="20" t="s">
        <v>47</v>
      </c>
      <c r="F148" s="19">
        <f t="shared" si="59"/>
        <v>3.4722222222223209E-3</v>
      </c>
      <c r="G148" s="21">
        <f t="shared" si="60"/>
        <v>1278</v>
      </c>
      <c r="H148" s="19">
        <f t="shared" si="61"/>
        <v>3.4722222222223209E-3</v>
      </c>
      <c r="I148" s="27">
        <f>HOUR(H148)*60+MINUTE(H148)</f>
        <v>5</v>
      </c>
      <c r="J148" s="21">
        <f t="shared" si="62"/>
        <v>4</v>
      </c>
      <c r="K148" s="28"/>
      <c r="L148" s="75"/>
      <c r="M148" s="58" t="s">
        <v>30</v>
      </c>
      <c r="N148" s="57">
        <v>40</v>
      </c>
      <c r="O148" s="55"/>
      <c r="P148" s="55">
        <v>2</v>
      </c>
      <c r="Q148" s="55">
        <v>4</v>
      </c>
      <c r="R148" s="124">
        <f>_xlfn.EXPON.DIST(P148,0.254758419,TRUE)</f>
        <v>0.39921421444009331</v>
      </c>
      <c r="S148" s="124">
        <f>_xlfn.EXPON.DIST(Q148,0.254758419,TRUE)</f>
        <v>0.63905643986916583</v>
      </c>
      <c r="T148" s="55">
        <f t="shared" ref="T148:T155" si="63">S148-R148</f>
        <v>0.23984222542907252</v>
      </c>
      <c r="U148" s="55">
        <f t="shared" ref="U148:U155" si="64">T148*173</f>
        <v>41.492704999229545</v>
      </c>
      <c r="V148" s="57">
        <f t="shared" ref="V148:V155" si="65">N148-U148</f>
        <v>-1.4927049992295451</v>
      </c>
      <c r="W148" s="57">
        <f t="shared" ref="W148:W155" si="66">V148^2</f>
        <v>2.2281682147248763</v>
      </c>
      <c r="X148" s="55">
        <f t="shared" ref="X148:X155" si="67">W148/U148</f>
        <v>5.3700239952209669E-2</v>
      </c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5"/>
      <c r="AK148" s="75"/>
      <c r="AL148" s="75"/>
      <c r="AM148" s="75"/>
      <c r="AN148" s="75"/>
      <c r="AO148" s="75"/>
      <c r="AP148" s="75"/>
      <c r="AQ148" s="75"/>
      <c r="AR148" s="75"/>
      <c r="AS148" s="75"/>
      <c r="AT148" s="75"/>
      <c r="AU148" s="75"/>
      <c r="AV148" s="75"/>
      <c r="AW148" s="75"/>
      <c r="AX148" s="75"/>
      <c r="AY148" s="75"/>
      <c r="AZ148" s="75"/>
      <c r="BA148" s="75"/>
    </row>
    <row r="149" spans="1:53" s="6" customFormat="1">
      <c r="A149" s="22">
        <v>0.88958333333333328</v>
      </c>
      <c r="B149" s="22">
        <v>0.88958333333333328</v>
      </c>
      <c r="C149" s="22">
        <v>0.8930555555555556</v>
      </c>
      <c r="D149" s="23" t="s">
        <v>48</v>
      </c>
      <c r="E149" s="23" t="s">
        <v>47</v>
      </c>
      <c r="F149" s="22">
        <f t="shared" si="59"/>
        <v>3.4722222222223209E-3</v>
      </c>
      <c r="G149" s="24">
        <f t="shared" si="60"/>
        <v>1281</v>
      </c>
      <c r="H149" s="22">
        <f t="shared" si="61"/>
        <v>3.4722222222223209E-3</v>
      </c>
      <c r="I149" s="27">
        <f>HOUR(H149)*60+MINUTE(H149)</f>
        <v>5</v>
      </c>
      <c r="J149" s="24">
        <f t="shared" si="62"/>
        <v>3</v>
      </c>
      <c r="K149" s="28"/>
      <c r="L149" s="75"/>
      <c r="M149" s="55" t="s">
        <v>31</v>
      </c>
      <c r="N149" s="57">
        <v>23</v>
      </c>
      <c r="O149" s="55"/>
      <c r="P149" s="55">
        <v>4</v>
      </c>
      <c r="Q149" s="55">
        <v>6</v>
      </c>
      <c r="R149" s="124">
        <f>_xlfn.EXPON.DIST(P149,0.254758419,TRUE)</f>
        <v>0.63905643986916583</v>
      </c>
      <c r="S149" s="124">
        <f>_xlfn.EXPON.DIST(Q149,0.254758419,TRUE)</f>
        <v>0.78315023968400732</v>
      </c>
      <c r="T149" s="55">
        <f t="shared" si="63"/>
        <v>0.14409379981484149</v>
      </c>
      <c r="U149" s="55">
        <f t="shared" si="64"/>
        <v>24.92822736796758</v>
      </c>
      <c r="V149" s="57">
        <f t="shared" si="65"/>
        <v>-1.9282273679675797</v>
      </c>
      <c r="W149" s="57">
        <f t="shared" si="66"/>
        <v>3.7180607825791796</v>
      </c>
      <c r="X149" s="55">
        <f t="shared" si="67"/>
        <v>0.14915062863061154</v>
      </c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5"/>
      <c r="AK149" s="75"/>
      <c r="AL149" s="75"/>
      <c r="AM149" s="75"/>
      <c r="AN149" s="75"/>
      <c r="AO149" s="75"/>
      <c r="AP149" s="75"/>
      <c r="AQ149" s="75"/>
      <c r="AR149" s="75"/>
      <c r="AS149" s="75"/>
      <c r="AT149" s="75"/>
      <c r="AU149" s="75"/>
      <c r="AV149" s="75"/>
      <c r="AW149" s="75"/>
      <c r="AX149" s="75"/>
      <c r="AY149" s="75"/>
      <c r="AZ149" s="75"/>
      <c r="BA149" s="75"/>
    </row>
    <row r="150" spans="1:53" s="3" customFormat="1">
      <c r="A150" s="19">
        <v>0.89027777777777772</v>
      </c>
      <c r="B150" s="19">
        <v>0.89097222222222228</v>
      </c>
      <c r="C150" s="19">
        <v>0.89236111111111116</v>
      </c>
      <c r="D150" s="20" t="s">
        <v>46</v>
      </c>
      <c r="E150" s="20" t="s">
        <v>47</v>
      </c>
      <c r="F150" s="19">
        <f t="shared" si="59"/>
        <v>1.388888888888884E-3</v>
      </c>
      <c r="G150" s="21">
        <f t="shared" si="60"/>
        <v>1282</v>
      </c>
      <c r="H150" s="19">
        <f t="shared" si="61"/>
        <v>1.388888888888884E-3</v>
      </c>
      <c r="I150" s="27">
        <f>HOUR(H150)*60+MINUTE(H150)</f>
        <v>2</v>
      </c>
      <c r="J150" s="21">
        <f t="shared" si="62"/>
        <v>1</v>
      </c>
      <c r="K150" s="28"/>
      <c r="L150" s="75"/>
      <c r="M150" s="55" t="s">
        <v>32</v>
      </c>
      <c r="N150" s="57">
        <v>13</v>
      </c>
      <c r="O150" s="55"/>
      <c r="P150" s="55">
        <v>6</v>
      </c>
      <c r="Q150" s="55">
        <v>8</v>
      </c>
      <c r="R150" s="124">
        <f>_xlfn.EXPON.DIST(P150,0.254758419,TRUE)</f>
        <v>0.78315023968400732</v>
      </c>
      <c r="S150" s="124">
        <f>_xlfn.EXPON.DIST(Q150,0.254758419,TRUE)</f>
        <v>0.86971974640007887</v>
      </c>
      <c r="T150" s="55">
        <f t="shared" si="63"/>
        <v>8.6569506716071554E-2</v>
      </c>
      <c r="U150" s="55">
        <f t="shared" si="64"/>
        <v>14.976524661880379</v>
      </c>
      <c r="V150" s="57">
        <f t="shared" si="65"/>
        <v>-1.9765246618803793</v>
      </c>
      <c r="W150" s="57">
        <f t="shared" si="66"/>
        <v>3.9066497390213479</v>
      </c>
      <c r="X150" s="55">
        <f t="shared" si="67"/>
        <v>0.26085155449748032</v>
      </c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5"/>
      <c r="AK150" s="75"/>
      <c r="AL150" s="75"/>
      <c r="AM150" s="75"/>
      <c r="AN150" s="75"/>
      <c r="AO150" s="75"/>
      <c r="AP150" s="75"/>
      <c r="AQ150" s="75"/>
      <c r="AR150" s="75"/>
      <c r="AS150" s="75"/>
      <c r="AT150" s="75"/>
      <c r="AU150" s="75"/>
      <c r="AV150" s="75"/>
      <c r="AW150" s="75"/>
      <c r="AX150" s="75"/>
      <c r="AY150" s="75"/>
      <c r="AZ150" s="75"/>
      <c r="BA150" s="75"/>
    </row>
    <row r="151" spans="1:53" s="3" customFormat="1">
      <c r="A151" s="19">
        <v>0.89097222222222228</v>
      </c>
      <c r="B151" s="19">
        <v>0.89236111111111116</v>
      </c>
      <c r="C151" s="19">
        <v>0.90069444444444446</v>
      </c>
      <c r="D151" s="20" t="s">
        <v>46</v>
      </c>
      <c r="E151" s="20" t="s">
        <v>47</v>
      </c>
      <c r="F151" s="19">
        <f t="shared" si="59"/>
        <v>8.3333333333333037E-3</v>
      </c>
      <c r="G151" s="21">
        <f t="shared" si="60"/>
        <v>1283</v>
      </c>
      <c r="H151" s="19">
        <f t="shared" si="61"/>
        <v>8.3333333333333037E-3</v>
      </c>
      <c r="I151" s="27">
        <f>HOUR(H151)*60+MINUTE(H151)</f>
        <v>12</v>
      </c>
      <c r="J151" s="21">
        <f t="shared" si="62"/>
        <v>1</v>
      </c>
      <c r="K151" s="28"/>
      <c r="L151" s="75"/>
      <c r="M151" s="58" t="s">
        <v>33</v>
      </c>
      <c r="N151" s="57">
        <v>9</v>
      </c>
      <c r="O151" s="55"/>
      <c r="P151" s="55">
        <v>8</v>
      </c>
      <c r="Q151" s="55">
        <v>10</v>
      </c>
      <c r="R151" s="124">
        <f>_xlfn.EXPON.DIST(P151,0.254758419,TRUE)</f>
        <v>0.86971974640007887</v>
      </c>
      <c r="S151" s="124">
        <f>_xlfn.EXPON.DIST(Q151,0.254758419,TRUE)</f>
        <v>0.92172947549802753</v>
      </c>
      <c r="T151" s="55">
        <f t="shared" si="63"/>
        <v>5.2009729097948654E-2</v>
      </c>
      <c r="U151" s="55">
        <f t="shared" si="64"/>
        <v>8.9976831339451167</v>
      </c>
      <c r="V151" s="57">
        <f t="shared" si="65"/>
        <v>2.3168660548833486E-3</v>
      </c>
      <c r="W151" s="57">
        <f t="shared" si="66"/>
        <v>5.3678683162707318E-6</v>
      </c>
      <c r="X151" s="55">
        <f t="shared" si="67"/>
        <v>5.9658339111983603E-7</v>
      </c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5"/>
      <c r="AK151" s="75"/>
      <c r="AL151" s="75"/>
      <c r="AM151" s="75"/>
      <c r="AN151" s="75"/>
      <c r="AO151" s="75"/>
      <c r="AP151" s="75"/>
      <c r="AQ151" s="75"/>
      <c r="AR151" s="75"/>
      <c r="AS151" s="75"/>
      <c r="AT151" s="75"/>
      <c r="AU151" s="75"/>
      <c r="AV151" s="75"/>
      <c r="AW151" s="75"/>
      <c r="AX151" s="75"/>
      <c r="AY151" s="75"/>
      <c r="AZ151" s="75"/>
      <c r="BA151" s="75"/>
    </row>
    <row r="152" spans="1:53" s="6" customFormat="1">
      <c r="A152" s="22">
        <v>0.89861111111111114</v>
      </c>
      <c r="B152" s="22">
        <v>0.89861111111111114</v>
      </c>
      <c r="C152" s="22">
        <v>0.90208333333333335</v>
      </c>
      <c r="D152" s="23" t="s">
        <v>48</v>
      </c>
      <c r="E152" s="23" t="s">
        <v>47</v>
      </c>
      <c r="F152" s="22">
        <f t="shared" si="59"/>
        <v>3.4722222222222099E-3</v>
      </c>
      <c r="G152" s="24">
        <f t="shared" si="60"/>
        <v>1294</v>
      </c>
      <c r="H152" s="22">
        <f t="shared" si="61"/>
        <v>3.4722222222222099E-3</v>
      </c>
      <c r="I152" s="27">
        <f>HOUR(H152)*60+MINUTE(H152)</f>
        <v>5</v>
      </c>
      <c r="J152" s="24">
        <f t="shared" si="62"/>
        <v>11</v>
      </c>
      <c r="K152" s="28"/>
      <c r="L152" s="75"/>
      <c r="M152" s="55" t="s">
        <v>34</v>
      </c>
      <c r="N152" s="57">
        <v>6</v>
      </c>
      <c r="O152" s="55"/>
      <c r="P152" s="55">
        <v>10</v>
      </c>
      <c r="Q152" s="55">
        <v>12</v>
      </c>
      <c r="R152" s="124">
        <f>_xlfn.EXPON.DIST(P152,0.254758419,TRUE)</f>
        <v>0.92172947549802753</v>
      </c>
      <c r="S152" s="124">
        <f>_xlfn.EXPON.DIST(Q152,0.254758419,TRUE)</f>
        <v>0.95297618145089658</v>
      </c>
      <c r="T152" s="55">
        <f t="shared" si="63"/>
        <v>3.1246705952869047E-2</v>
      </c>
      <c r="U152" s="55">
        <f t="shared" si="64"/>
        <v>5.4056801298463455</v>
      </c>
      <c r="V152" s="57">
        <f t="shared" si="65"/>
        <v>0.59431987015365451</v>
      </c>
      <c r="W152" s="57">
        <f t="shared" si="66"/>
        <v>0.35321610805945675</v>
      </c>
      <c r="X152" s="55">
        <f t="shared" si="67"/>
        <v>6.5341659065109498E-2</v>
      </c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5"/>
      <c r="AK152" s="75"/>
      <c r="AL152" s="75"/>
      <c r="AM152" s="75"/>
      <c r="AN152" s="75"/>
      <c r="AO152" s="75"/>
      <c r="AP152" s="75"/>
      <c r="AQ152" s="75"/>
      <c r="AR152" s="75"/>
      <c r="AS152" s="75"/>
      <c r="AT152" s="75"/>
      <c r="AU152" s="75"/>
      <c r="AV152" s="75"/>
      <c r="AW152" s="75"/>
      <c r="AX152" s="75"/>
      <c r="AY152" s="75"/>
      <c r="AZ152" s="75"/>
      <c r="BA152" s="75"/>
    </row>
    <row r="153" spans="1:53" s="3" customFormat="1">
      <c r="A153" s="19">
        <v>0.89930555555555558</v>
      </c>
      <c r="B153" s="19">
        <v>0.90069444444444446</v>
      </c>
      <c r="C153" s="19">
        <v>0.90277777777777779</v>
      </c>
      <c r="D153" s="20" t="s">
        <v>46</v>
      </c>
      <c r="E153" s="20" t="s">
        <v>47</v>
      </c>
      <c r="F153" s="19">
        <f t="shared" si="59"/>
        <v>2.0833333333333259E-3</v>
      </c>
      <c r="G153" s="21">
        <f t="shared" si="60"/>
        <v>1295</v>
      </c>
      <c r="H153" s="19">
        <f t="shared" si="61"/>
        <v>2.0833333333333259E-3</v>
      </c>
      <c r="I153" s="27">
        <f>HOUR(H153)*60+MINUTE(H153)</f>
        <v>3</v>
      </c>
      <c r="J153" s="21">
        <f t="shared" si="62"/>
        <v>1</v>
      </c>
      <c r="K153" s="28"/>
      <c r="L153" s="75"/>
      <c r="M153" s="55" t="s">
        <v>78</v>
      </c>
      <c r="N153" s="57">
        <v>4</v>
      </c>
      <c r="O153" s="55"/>
      <c r="P153" s="55">
        <v>12</v>
      </c>
      <c r="Q153" s="55">
        <v>14</v>
      </c>
      <c r="R153" s="124">
        <f>_xlfn.EXPON.DIST(P153,0.254758419,TRUE)</f>
        <v>0.95297618145089658</v>
      </c>
      <c r="S153" s="124">
        <f>_xlfn.EXPON.DIST(Q153,0.254758419,TRUE)</f>
        <v>0.97174875823295037</v>
      </c>
      <c r="T153" s="55">
        <f t="shared" si="63"/>
        <v>1.8772576782053796E-2</v>
      </c>
      <c r="U153" s="55">
        <f t="shared" si="64"/>
        <v>3.2476557832953068</v>
      </c>
      <c r="V153" s="57">
        <f t="shared" si="65"/>
        <v>0.7523442167046932</v>
      </c>
      <c r="W153" s="57">
        <f t="shared" si="66"/>
        <v>0.5660218204089984</v>
      </c>
      <c r="X153" s="55">
        <f t="shared" si="67"/>
        <v>0.17428627236925695</v>
      </c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</row>
    <row r="154" spans="1:53" s="6" customFormat="1">
      <c r="A154" s="22">
        <v>0.9</v>
      </c>
      <c r="B154" s="22">
        <v>0.90208333333333335</v>
      </c>
      <c r="C154" s="22">
        <v>0.90486111111111112</v>
      </c>
      <c r="D154" s="23" t="s">
        <v>48</v>
      </c>
      <c r="E154" s="23" t="s">
        <v>47</v>
      </c>
      <c r="F154" s="22">
        <f t="shared" si="59"/>
        <v>2.7777777777777679E-3</v>
      </c>
      <c r="G154" s="24">
        <f t="shared" si="60"/>
        <v>1296</v>
      </c>
      <c r="H154" s="22">
        <f t="shared" si="61"/>
        <v>2.7777777777777679E-3</v>
      </c>
      <c r="I154" s="27">
        <f>HOUR(H154)*60+MINUTE(H154)</f>
        <v>4</v>
      </c>
      <c r="J154" s="24">
        <f t="shared" si="62"/>
        <v>1</v>
      </c>
      <c r="K154" s="28"/>
      <c r="L154" s="28"/>
      <c r="M154" s="55" t="s">
        <v>71</v>
      </c>
      <c r="N154" s="122">
        <v>1</v>
      </c>
      <c r="O154" s="55"/>
      <c r="P154" s="16">
        <v>14</v>
      </c>
      <c r="Q154" s="16">
        <v>16</v>
      </c>
      <c r="R154" s="124">
        <f>_xlfn.EXPON.DIST(P154,0.254758419,TRUE)</f>
        <v>0.97174875823295037</v>
      </c>
      <c r="S154" s="124">
        <f>_xlfn.EXPON.DIST(Q154,0.254758419,TRUE)</f>
        <v>0.98302705552194025</v>
      </c>
      <c r="T154" s="55">
        <f t="shared" si="63"/>
        <v>1.127829728898988E-2</v>
      </c>
      <c r="U154" s="55">
        <f t="shared" si="64"/>
        <v>1.9511454309952492</v>
      </c>
      <c r="V154" s="57">
        <f t="shared" si="65"/>
        <v>-0.95114543099524917</v>
      </c>
      <c r="W154" s="57">
        <f t="shared" si="66"/>
        <v>0.90467763090313835</v>
      </c>
      <c r="X154" s="55">
        <f t="shared" si="67"/>
        <v>0.46366488962418156</v>
      </c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5"/>
      <c r="AK154" s="75"/>
      <c r="AL154" s="75"/>
      <c r="AM154" s="75"/>
      <c r="AN154" s="75"/>
      <c r="AO154" s="75"/>
      <c r="AP154" s="75"/>
      <c r="AQ154" s="75"/>
      <c r="AR154" s="75"/>
      <c r="AS154" s="75"/>
      <c r="AT154" s="75"/>
      <c r="AU154" s="75"/>
      <c r="AV154" s="75"/>
      <c r="AW154" s="75"/>
      <c r="AX154" s="75"/>
      <c r="AY154" s="75"/>
      <c r="AZ154" s="75"/>
      <c r="BA154" s="75"/>
    </row>
    <row r="155" spans="1:53" s="3" customFormat="1">
      <c r="A155" s="19">
        <v>0.90208333333333335</v>
      </c>
      <c r="B155" s="19">
        <v>0.90277777777777779</v>
      </c>
      <c r="C155" s="19">
        <v>0.90416666666666667</v>
      </c>
      <c r="D155" s="20" t="s">
        <v>46</v>
      </c>
      <c r="E155" s="20" t="s">
        <v>47</v>
      </c>
      <c r="F155" s="19">
        <f t="shared" si="59"/>
        <v>1.388888888888884E-3</v>
      </c>
      <c r="G155" s="21">
        <f t="shared" si="60"/>
        <v>1299</v>
      </c>
      <c r="H155" s="19">
        <f t="shared" si="61"/>
        <v>1.388888888888884E-3</v>
      </c>
      <c r="I155" s="27">
        <f>HOUR(H155)*60+MINUTE(H155)</f>
        <v>2</v>
      </c>
      <c r="J155" s="21">
        <f t="shared" si="62"/>
        <v>3</v>
      </c>
      <c r="K155" s="28"/>
      <c r="L155" s="75"/>
      <c r="M155" s="123" t="s">
        <v>72</v>
      </c>
      <c r="N155" s="123">
        <v>1</v>
      </c>
      <c r="O155" s="55"/>
      <c r="P155" s="123">
        <v>16</v>
      </c>
      <c r="Q155" s="123">
        <v>18</v>
      </c>
      <c r="R155" s="124">
        <f>_xlfn.EXPON.DIST(P155,0.254758419,TRUE)</f>
        <v>0.98302705552194025</v>
      </c>
      <c r="S155" s="124">
        <f>_xlfn.EXPON.DIST(Q155,0.254758419,TRUE)</f>
        <v>0.98980289621848416</v>
      </c>
      <c r="T155" s="55">
        <f t="shared" si="63"/>
        <v>6.7758406965439111E-3</v>
      </c>
      <c r="U155" s="55">
        <f t="shared" si="64"/>
        <v>1.1722204405020966</v>
      </c>
      <c r="V155" s="57">
        <f t="shared" si="65"/>
        <v>-0.17222044050209662</v>
      </c>
      <c r="W155" s="57">
        <f t="shared" si="66"/>
        <v>2.9659880126736201E-2</v>
      </c>
      <c r="X155" s="55">
        <f t="shared" si="67"/>
        <v>2.5302305864954886E-2</v>
      </c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5"/>
      <c r="AK155" s="75"/>
      <c r="AL155" s="75"/>
      <c r="AM155" s="75"/>
      <c r="AN155" s="75"/>
      <c r="AO155" s="75"/>
      <c r="AP155" s="75"/>
      <c r="AQ155" s="75"/>
      <c r="AR155" s="75"/>
      <c r="AS155" s="75"/>
      <c r="AT155" s="75"/>
      <c r="AU155" s="75"/>
      <c r="AV155" s="75"/>
      <c r="AW155" s="75"/>
      <c r="AX155" s="75"/>
      <c r="AY155" s="75"/>
      <c r="AZ155" s="75"/>
      <c r="BA155" s="75"/>
    </row>
    <row r="156" spans="1:53" s="3" customFormat="1">
      <c r="A156" s="19">
        <v>0.91527777777777775</v>
      </c>
      <c r="B156" s="19">
        <v>0.91527777777777775</v>
      </c>
      <c r="C156" s="19">
        <v>0.91597222222222219</v>
      </c>
      <c r="D156" s="20" t="s">
        <v>46</v>
      </c>
      <c r="E156" s="20" t="s">
        <v>47</v>
      </c>
      <c r="F156" s="19">
        <f t="shared" si="59"/>
        <v>6.9444444444444198E-4</v>
      </c>
      <c r="G156" s="21">
        <f t="shared" si="60"/>
        <v>1318</v>
      </c>
      <c r="H156" s="19">
        <f t="shared" si="61"/>
        <v>6.9444444444444198E-4</v>
      </c>
      <c r="I156" s="27">
        <f>HOUR(H156)*60+MINUTE(H156)</f>
        <v>1</v>
      </c>
      <c r="J156" s="21">
        <f t="shared" si="62"/>
        <v>19</v>
      </c>
      <c r="K156" s="28"/>
      <c r="L156" s="106" t="s">
        <v>36</v>
      </c>
      <c r="M156" s="108">
        <f>SUM(N147:N154)</f>
        <v>173</v>
      </c>
      <c r="N156" s="108">
        <v>0</v>
      </c>
      <c r="O156" s="107">
        <f>SUM(O147:O152)</f>
        <v>0</v>
      </c>
      <c r="P156" s="107"/>
      <c r="Q156" s="107"/>
      <c r="R156" s="107"/>
      <c r="S156" s="107"/>
      <c r="T156" s="107"/>
      <c r="U156" s="107"/>
      <c r="V156" s="107"/>
      <c r="W156" s="107"/>
      <c r="X156" s="109">
        <f>SUM(X147:X155)</f>
        <v>2.1041929703244726</v>
      </c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5"/>
      <c r="AK156" s="75"/>
      <c r="AL156" s="75"/>
      <c r="AM156" s="75"/>
      <c r="AN156" s="75"/>
      <c r="AO156" s="75"/>
      <c r="AP156" s="75"/>
      <c r="AQ156" s="75"/>
      <c r="AR156" s="75"/>
      <c r="AS156" s="75"/>
      <c r="AT156" s="75"/>
      <c r="AU156" s="75"/>
      <c r="AV156" s="75"/>
      <c r="AW156" s="75"/>
      <c r="AX156" s="75"/>
      <c r="AY156" s="75"/>
      <c r="AZ156" s="75"/>
      <c r="BA156" s="75"/>
    </row>
    <row r="157" spans="1:53" s="3" customFormat="1">
      <c r="A157" s="19">
        <v>0.91597222222222219</v>
      </c>
      <c r="B157" s="19">
        <v>0.91597222222222219</v>
      </c>
      <c r="C157" s="19">
        <v>0.91736111111111107</v>
      </c>
      <c r="D157" s="20" t="s">
        <v>46</v>
      </c>
      <c r="E157" s="20" t="s">
        <v>47</v>
      </c>
      <c r="F157" s="19">
        <f t="shared" si="59"/>
        <v>1.388888888888884E-3</v>
      </c>
      <c r="G157" s="21">
        <f t="shared" si="60"/>
        <v>1319</v>
      </c>
      <c r="H157" s="19">
        <f t="shared" si="61"/>
        <v>1.388888888888884E-3</v>
      </c>
      <c r="I157" s="27">
        <f>HOUR(H157)*60+MINUTE(H157)</f>
        <v>2</v>
      </c>
      <c r="J157" s="21">
        <f t="shared" si="62"/>
        <v>1</v>
      </c>
      <c r="K157" s="28"/>
      <c r="L157" s="28"/>
      <c r="M157" s="28" t="s">
        <v>37</v>
      </c>
      <c r="N157" s="29">
        <f>AVERAGE(I2:I175)</f>
        <v>3.9252873563218391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75"/>
      <c r="AN157" s="75"/>
      <c r="AO157" s="75"/>
      <c r="AP157" s="75"/>
      <c r="AQ157" s="75"/>
      <c r="AR157" s="75"/>
      <c r="AS157" s="75"/>
      <c r="AT157" s="75"/>
      <c r="AU157" s="75"/>
      <c r="AV157" s="75"/>
      <c r="AW157" s="75"/>
      <c r="AX157" s="75"/>
      <c r="AY157" s="75"/>
      <c r="AZ157" s="75"/>
      <c r="BA157" s="75"/>
    </row>
    <row r="158" spans="1:53" s="3" customFormat="1">
      <c r="A158" s="19">
        <v>0.9194444444444444</v>
      </c>
      <c r="B158" s="19">
        <v>0.9194444444444444</v>
      </c>
      <c r="C158" s="19">
        <v>0.92361111111111116</v>
      </c>
      <c r="D158" s="20" t="s">
        <v>46</v>
      </c>
      <c r="E158" s="20" t="s">
        <v>47</v>
      </c>
      <c r="F158" s="19">
        <f t="shared" si="59"/>
        <v>4.1666666666667629E-3</v>
      </c>
      <c r="G158" s="21">
        <f t="shared" si="60"/>
        <v>1324</v>
      </c>
      <c r="H158" s="19">
        <f t="shared" si="61"/>
        <v>4.1666666666667629E-3</v>
      </c>
      <c r="I158" s="27">
        <f>HOUR(H158)*60+MINUTE(H158)</f>
        <v>6</v>
      </c>
      <c r="J158" s="21">
        <f t="shared" si="62"/>
        <v>5</v>
      </c>
      <c r="K158" s="28"/>
      <c r="L158" s="28"/>
      <c r="M158" s="28" t="s">
        <v>79</v>
      </c>
      <c r="N158" s="28">
        <f>1/N157</f>
        <v>0.2547584187408492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75"/>
      <c r="AP158" s="75"/>
      <c r="AQ158" s="75"/>
      <c r="AR158" s="75"/>
      <c r="AS158" s="75"/>
      <c r="AT158" s="75"/>
      <c r="AU158" s="75"/>
      <c r="AV158" s="75"/>
      <c r="AW158" s="75"/>
      <c r="AX158" s="75"/>
      <c r="AY158" s="75"/>
      <c r="AZ158" s="75"/>
      <c r="BA158" s="75"/>
    </row>
    <row r="159" spans="1:53" s="3" customFormat="1">
      <c r="A159" s="19">
        <v>0.9243055555555556</v>
      </c>
      <c r="B159" s="19">
        <v>0.9243055555555556</v>
      </c>
      <c r="C159" s="19">
        <v>0.9243055555555556</v>
      </c>
      <c r="D159" s="20" t="s">
        <v>46</v>
      </c>
      <c r="E159" s="20" t="s">
        <v>47</v>
      </c>
      <c r="F159" s="19">
        <f t="shared" si="59"/>
        <v>0</v>
      </c>
      <c r="G159" s="21">
        <f t="shared" si="60"/>
        <v>1331</v>
      </c>
      <c r="H159" s="19">
        <f t="shared" si="61"/>
        <v>0</v>
      </c>
      <c r="I159" s="27">
        <f>HOUR(H159)*60+MINUTE(H159)</f>
        <v>0</v>
      </c>
      <c r="J159" s="21">
        <f t="shared" si="62"/>
        <v>7</v>
      </c>
      <c r="K159" s="28"/>
      <c r="L159" s="28" t="s">
        <v>80</v>
      </c>
      <c r="M159" s="28">
        <f>_xlfn.VAR.S(I2:I175)</f>
        <v>12.913460899607998</v>
      </c>
      <c r="N159" s="28"/>
      <c r="O159" s="28" t="s">
        <v>81</v>
      </c>
      <c r="P159" s="28"/>
      <c r="Q159" s="28"/>
      <c r="R159" s="28"/>
      <c r="S159" s="28"/>
      <c r="T159" s="28"/>
      <c r="U159" s="28"/>
      <c r="V159" s="28"/>
      <c r="W159" s="28"/>
      <c r="X159" s="28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5"/>
      <c r="AK159" s="75"/>
      <c r="AL159" s="75"/>
      <c r="AM159" s="75"/>
      <c r="AN159" s="75"/>
      <c r="AO159" s="75"/>
      <c r="AP159" s="75"/>
      <c r="AQ159" s="75"/>
      <c r="AR159" s="75"/>
      <c r="AS159" s="75"/>
      <c r="AT159" s="75"/>
      <c r="AU159" s="75"/>
      <c r="AV159" s="75"/>
      <c r="AW159" s="75"/>
      <c r="AX159" s="75"/>
      <c r="AY159" s="75"/>
      <c r="AZ159" s="75"/>
      <c r="BA159" s="75"/>
    </row>
    <row r="160" spans="1:53" s="3" customFormat="1">
      <c r="A160" s="19">
        <v>0.92500000000000004</v>
      </c>
      <c r="B160" s="19">
        <v>0.92500000000000004</v>
      </c>
      <c r="C160" s="19">
        <v>0.92500000000000004</v>
      </c>
      <c r="D160" s="20" t="s">
        <v>46</v>
      </c>
      <c r="E160" s="20" t="s">
        <v>47</v>
      </c>
      <c r="F160" s="19">
        <f t="shared" si="59"/>
        <v>0</v>
      </c>
      <c r="G160" s="21">
        <f t="shared" si="60"/>
        <v>1332</v>
      </c>
      <c r="H160" s="19">
        <f t="shared" si="61"/>
        <v>0</v>
      </c>
      <c r="I160" s="27">
        <f>HOUR(H160)*60+MINUTE(H160)</f>
        <v>0</v>
      </c>
      <c r="J160" s="21">
        <f t="shared" si="62"/>
        <v>1</v>
      </c>
      <c r="K160" s="28"/>
      <c r="L160" s="28"/>
      <c r="M160" s="28" t="s">
        <v>82</v>
      </c>
      <c r="N160" s="28">
        <f>9-1-1</f>
        <v>7</v>
      </c>
      <c r="O160" s="28">
        <v>14.067</v>
      </c>
      <c r="P160" s="206" t="s">
        <v>43</v>
      </c>
      <c r="Q160" s="206"/>
      <c r="R160" s="206"/>
      <c r="S160" s="206"/>
      <c r="T160" s="206"/>
      <c r="U160" s="206"/>
      <c r="V160" s="206"/>
      <c r="W160" s="206"/>
      <c r="X160" s="28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5"/>
      <c r="AS160" s="75"/>
      <c r="AT160" s="75"/>
      <c r="AU160" s="75"/>
      <c r="AV160" s="75"/>
      <c r="AW160" s="75"/>
      <c r="AX160" s="75"/>
      <c r="AY160" s="75"/>
      <c r="AZ160" s="75"/>
      <c r="BA160" s="75"/>
    </row>
    <row r="161" spans="1:53" s="3" customFormat="1">
      <c r="A161" s="19">
        <v>0.9291666666666667</v>
      </c>
      <c r="B161" s="19">
        <v>0.9291666666666667</v>
      </c>
      <c r="C161" s="19">
        <v>0.9291666666666667</v>
      </c>
      <c r="D161" s="20" t="s">
        <v>46</v>
      </c>
      <c r="E161" s="20" t="s">
        <v>47</v>
      </c>
      <c r="F161" s="19">
        <f t="shared" si="59"/>
        <v>0</v>
      </c>
      <c r="G161" s="21">
        <f t="shared" si="60"/>
        <v>1338</v>
      </c>
      <c r="H161" s="19">
        <f t="shared" si="61"/>
        <v>0</v>
      </c>
      <c r="I161" s="27">
        <f>HOUR(H161)*60+MINUTE(H161)</f>
        <v>0</v>
      </c>
      <c r="J161" s="21">
        <f t="shared" si="62"/>
        <v>6</v>
      </c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5"/>
      <c r="AK161" s="75"/>
      <c r="AL161" s="75"/>
      <c r="AM161" s="75"/>
      <c r="AN161" s="75"/>
      <c r="AO161" s="75"/>
      <c r="AP161" s="75"/>
      <c r="AQ161" s="75"/>
      <c r="AR161" s="75"/>
      <c r="AS161" s="75"/>
      <c r="AT161" s="75"/>
      <c r="AU161" s="75"/>
      <c r="AV161" s="75"/>
      <c r="AW161" s="75"/>
      <c r="AX161" s="75"/>
      <c r="AY161" s="75"/>
      <c r="AZ161" s="75"/>
      <c r="BA161" s="75"/>
    </row>
    <row r="162" spans="1:53" s="3" customFormat="1">
      <c r="A162" s="19">
        <v>0.93055555555555558</v>
      </c>
      <c r="B162" s="19">
        <v>0.93055555555555558</v>
      </c>
      <c r="C162" s="19">
        <v>0.93055555555555558</v>
      </c>
      <c r="D162" s="20" t="s">
        <v>46</v>
      </c>
      <c r="E162" s="20" t="s">
        <v>47</v>
      </c>
      <c r="F162" s="19">
        <f t="shared" si="59"/>
        <v>0</v>
      </c>
      <c r="G162" s="21">
        <f t="shared" si="60"/>
        <v>1340</v>
      </c>
      <c r="H162" s="19">
        <f t="shared" si="61"/>
        <v>0</v>
      </c>
      <c r="I162" s="27">
        <f>HOUR(H162)*60+MINUTE(H162)</f>
        <v>0</v>
      </c>
      <c r="J162" s="21">
        <f t="shared" si="62"/>
        <v>2</v>
      </c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5"/>
      <c r="AK162" s="75"/>
      <c r="AL162" s="75"/>
      <c r="AM162" s="75"/>
      <c r="AN162" s="75"/>
      <c r="AO162" s="75"/>
      <c r="AP162" s="75"/>
      <c r="AQ162" s="75"/>
      <c r="AR162" s="75"/>
      <c r="AS162" s="75"/>
      <c r="AT162" s="75"/>
      <c r="AU162" s="75"/>
      <c r="AV162" s="75"/>
      <c r="AW162" s="75"/>
      <c r="AX162" s="75"/>
      <c r="AY162" s="75"/>
      <c r="AZ162" s="75"/>
      <c r="BA162" s="75"/>
    </row>
    <row r="163" spans="1:53" s="3" customFormat="1">
      <c r="A163" s="19">
        <v>0.93333333333333335</v>
      </c>
      <c r="B163" s="19">
        <v>0.93333333333333335</v>
      </c>
      <c r="C163" s="19">
        <v>0.93888888888888888</v>
      </c>
      <c r="D163" s="20" t="s">
        <v>46</v>
      </c>
      <c r="E163" s="20" t="s">
        <v>47</v>
      </c>
      <c r="F163" s="19">
        <f t="shared" si="59"/>
        <v>5.5555555555555358E-3</v>
      </c>
      <c r="G163" s="21">
        <f t="shared" si="60"/>
        <v>1344</v>
      </c>
      <c r="H163" s="19">
        <f t="shared" si="61"/>
        <v>5.5555555555555358E-3</v>
      </c>
      <c r="I163" s="27">
        <f>HOUR(H163)*60+MINUTE(H163)</f>
        <v>8</v>
      </c>
      <c r="J163" s="21">
        <f t="shared" si="62"/>
        <v>4</v>
      </c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5"/>
      <c r="AK163" s="75"/>
      <c r="AL163" s="75"/>
      <c r="AM163" s="75"/>
      <c r="AN163" s="75"/>
      <c r="AO163" s="75"/>
      <c r="AP163" s="75"/>
      <c r="AQ163" s="75"/>
      <c r="AR163" s="75"/>
      <c r="AS163" s="75"/>
      <c r="AT163" s="75"/>
      <c r="AU163" s="75"/>
      <c r="AV163" s="75"/>
      <c r="AW163" s="75"/>
      <c r="AX163" s="75"/>
      <c r="AY163" s="75"/>
      <c r="AZ163" s="75"/>
      <c r="BA163" s="75"/>
    </row>
    <row r="164" spans="1:53" s="6" customFormat="1">
      <c r="A164" s="22">
        <v>0.93680555555555556</v>
      </c>
      <c r="B164" s="22">
        <v>0.93680555555555556</v>
      </c>
      <c r="C164" s="22">
        <v>0.94027777777777777</v>
      </c>
      <c r="D164" s="23" t="s">
        <v>48</v>
      </c>
      <c r="E164" s="23" t="s">
        <v>47</v>
      </c>
      <c r="F164" s="22">
        <f t="shared" si="59"/>
        <v>3.4722222222222099E-3</v>
      </c>
      <c r="G164" s="24">
        <f t="shared" si="60"/>
        <v>1349</v>
      </c>
      <c r="H164" s="22">
        <f t="shared" si="61"/>
        <v>3.4722222222222099E-3</v>
      </c>
      <c r="I164" s="27">
        <f>HOUR(H164)*60+MINUTE(H164)</f>
        <v>5</v>
      </c>
      <c r="J164" s="24">
        <f t="shared" si="62"/>
        <v>5</v>
      </c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5"/>
      <c r="AK164" s="75"/>
      <c r="AL164" s="75"/>
      <c r="AM164" s="75"/>
      <c r="AN164" s="75"/>
      <c r="AO164" s="75"/>
      <c r="AP164" s="75"/>
      <c r="AQ164" s="75"/>
      <c r="AR164" s="75"/>
      <c r="AS164" s="75"/>
      <c r="AT164" s="75"/>
      <c r="AU164" s="75"/>
      <c r="AV164" s="75"/>
      <c r="AW164" s="75"/>
      <c r="AX164" s="75"/>
      <c r="AY164" s="75"/>
      <c r="AZ164" s="75"/>
      <c r="BA164" s="75"/>
    </row>
    <row r="165" spans="1:53" s="3" customFormat="1">
      <c r="A165" s="19">
        <v>0.93888888888888888</v>
      </c>
      <c r="B165" s="19">
        <v>0.93888888888888888</v>
      </c>
      <c r="C165" s="19">
        <v>0.94097222222222221</v>
      </c>
      <c r="D165" s="20" t="s">
        <v>46</v>
      </c>
      <c r="E165" s="20" t="s">
        <v>47</v>
      </c>
      <c r="F165" s="19">
        <f t="shared" si="59"/>
        <v>2.0833333333333259E-3</v>
      </c>
      <c r="G165" s="21">
        <f t="shared" si="60"/>
        <v>1352</v>
      </c>
      <c r="H165" s="19">
        <f t="shared" si="61"/>
        <v>2.0833333333333259E-3</v>
      </c>
      <c r="I165" s="27">
        <f>HOUR(H165)*60+MINUTE(H165)</f>
        <v>3</v>
      </c>
      <c r="J165" s="21">
        <f t="shared" si="62"/>
        <v>3</v>
      </c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  <c r="AK165" s="75"/>
      <c r="AL165" s="75"/>
      <c r="AM165" s="75"/>
      <c r="AN165" s="75"/>
      <c r="AO165" s="75"/>
      <c r="AP165" s="75"/>
      <c r="AQ165" s="75"/>
      <c r="AR165" s="75"/>
      <c r="AS165" s="75"/>
      <c r="AT165" s="75"/>
      <c r="AU165" s="75"/>
      <c r="AV165" s="75"/>
      <c r="AW165" s="75"/>
      <c r="AX165" s="75"/>
      <c r="AY165" s="75"/>
      <c r="AZ165" s="75"/>
      <c r="BA165" s="75"/>
    </row>
    <row r="166" spans="1:53" s="6" customFormat="1">
      <c r="A166" s="22">
        <v>0.93958333333333333</v>
      </c>
      <c r="B166" s="22">
        <v>0.94027777777777777</v>
      </c>
      <c r="C166" s="22">
        <v>0.94027777777777777</v>
      </c>
      <c r="D166" s="23" t="s">
        <v>48</v>
      </c>
      <c r="E166" s="23" t="s">
        <v>47</v>
      </c>
      <c r="F166" s="22">
        <f t="shared" si="59"/>
        <v>0</v>
      </c>
      <c r="G166" s="24">
        <f t="shared" si="60"/>
        <v>1353</v>
      </c>
      <c r="H166" s="22">
        <f t="shared" si="61"/>
        <v>0</v>
      </c>
      <c r="I166" s="27">
        <f>HOUR(H166)*60+MINUTE(H166)</f>
        <v>0</v>
      </c>
      <c r="J166" s="24">
        <f t="shared" si="62"/>
        <v>1</v>
      </c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5"/>
      <c r="AK166" s="75"/>
      <c r="AL166" s="75"/>
      <c r="AM166" s="75"/>
      <c r="AN166" s="75"/>
      <c r="AO166" s="75"/>
      <c r="AP166" s="75"/>
      <c r="AQ166" s="75"/>
      <c r="AR166" s="75"/>
      <c r="AS166" s="75"/>
      <c r="AT166" s="75"/>
      <c r="AU166" s="75"/>
      <c r="AV166" s="75"/>
      <c r="AW166" s="75"/>
      <c r="AX166" s="75"/>
      <c r="AY166" s="75"/>
      <c r="AZ166" s="75"/>
      <c r="BA166" s="75"/>
    </row>
    <row r="167" spans="1:53" s="3" customFormat="1">
      <c r="A167" s="19">
        <v>0.94513888888888886</v>
      </c>
      <c r="B167" s="19">
        <v>0.94513888888888886</v>
      </c>
      <c r="C167" s="19">
        <v>0.94652777777777775</v>
      </c>
      <c r="D167" s="20" t="s">
        <v>46</v>
      </c>
      <c r="E167" s="20" t="s">
        <v>47</v>
      </c>
      <c r="F167" s="19">
        <f t="shared" si="59"/>
        <v>1.388888888888884E-3</v>
      </c>
      <c r="G167" s="21">
        <f t="shared" si="60"/>
        <v>1361</v>
      </c>
      <c r="H167" s="19">
        <f t="shared" si="61"/>
        <v>1.388888888888884E-3</v>
      </c>
      <c r="I167" s="27">
        <f>HOUR(H167)*60+MINUTE(H167)</f>
        <v>2</v>
      </c>
      <c r="J167" s="21">
        <f t="shared" si="62"/>
        <v>8</v>
      </c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5"/>
      <c r="AK167" s="75"/>
      <c r="AL167" s="75"/>
      <c r="AM167" s="75"/>
      <c r="AN167" s="75"/>
      <c r="AO167" s="75"/>
      <c r="AP167" s="75"/>
      <c r="AQ167" s="75"/>
      <c r="AR167" s="75"/>
      <c r="AS167" s="75"/>
      <c r="AT167" s="75"/>
      <c r="AU167" s="75"/>
      <c r="AV167" s="75"/>
      <c r="AW167" s="75"/>
      <c r="AX167" s="75"/>
      <c r="AY167" s="75"/>
      <c r="AZ167" s="75"/>
      <c r="BA167" s="75"/>
    </row>
    <row r="168" spans="1:53" s="6" customFormat="1">
      <c r="A168" s="22">
        <v>0.9458333333333333</v>
      </c>
      <c r="B168" s="22">
        <v>0.9458333333333333</v>
      </c>
      <c r="C168" s="22">
        <v>0.94791666666666663</v>
      </c>
      <c r="D168" s="23" t="s">
        <v>48</v>
      </c>
      <c r="E168" s="23" t="s">
        <v>47</v>
      </c>
      <c r="F168" s="22">
        <f t="shared" si="59"/>
        <v>2.0833333333333259E-3</v>
      </c>
      <c r="G168" s="24">
        <f t="shared" si="60"/>
        <v>1362</v>
      </c>
      <c r="H168" s="22">
        <f t="shared" si="61"/>
        <v>2.0833333333333259E-3</v>
      </c>
      <c r="I168" s="27">
        <f>HOUR(H168)*60+MINUTE(H168)</f>
        <v>3</v>
      </c>
      <c r="J168" s="24">
        <f t="shared" si="62"/>
        <v>1</v>
      </c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5"/>
      <c r="AK168" s="75"/>
      <c r="AL168" s="75"/>
      <c r="AM168" s="75"/>
      <c r="AN168" s="75"/>
      <c r="AO168" s="75"/>
      <c r="AP168" s="75"/>
      <c r="AQ168" s="75"/>
      <c r="AR168" s="75"/>
      <c r="AS168" s="75"/>
      <c r="AT168" s="75"/>
      <c r="AU168" s="75"/>
      <c r="AV168" s="75"/>
      <c r="AW168" s="75"/>
      <c r="AX168" s="75"/>
      <c r="AY168" s="75"/>
      <c r="AZ168" s="75"/>
      <c r="BA168" s="75"/>
    </row>
    <row r="169" spans="1:53" s="3" customFormat="1">
      <c r="A169" s="19">
        <v>0.94652777777777775</v>
      </c>
      <c r="B169" s="19">
        <v>0.94652777777777775</v>
      </c>
      <c r="C169" s="19">
        <v>0.94722222222222219</v>
      </c>
      <c r="D169" s="20" t="s">
        <v>46</v>
      </c>
      <c r="E169" s="20" t="s">
        <v>47</v>
      </c>
      <c r="F169" s="19">
        <f t="shared" si="59"/>
        <v>6.9444444444444198E-4</v>
      </c>
      <c r="G169" s="21">
        <f t="shared" si="60"/>
        <v>1363</v>
      </c>
      <c r="H169" s="19">
        <f t="shared" si="61"/>
        <v>6.9444444444444198E-4</v>
      </c>
      <c r="I169" s="27">
        <f>HOUR(H169)*60+MINUTE(H169)</f>
        <v>1</v>
      </c>
      <c r="J169" s="21">
        <f t="shared" si="62"/>
        <v>1</v>
      </c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5"/>
      <c r="AK169" s="75"/>
      <c r="AL169" s="75"/>
      <c r="AM169" s="75"/>
      <c r="AN169" s="75"/>
      <c r="AO169" s="75"/>
      <c r="AP169" s="75"/>
      <c r="AQ169" s="75"/>
      <c r="AR169" s="75"/>
      <c r="AS169" s="75"/>
      <c r="AT169" s="75"/>
      <c r="AU169" s="75"/>
      <c r="AV169" s="75"/>
      <c r="AW169" s="75"/>
      <c r="AX169" s="75"/>
      <c r="AY169" s="75"/>
      <c r="AZ169" s="75"/>
      <c r="BA169" s="75"/>
    </row>
    <row r="170" spans="1:53" s="3" customFormat="1">
      <c r="A170" s="19">
        <v>0.94722222222222219</v>
      </c>
      <c r="B170" s="19">
        <v>0.94722222222222219</v>
      </c>
      <c r="C170" s="19">
        <v>0.94861111111111107</v>
      </c>
      <c r="D170" s="20" t="s">
        <v>46</v>
      </c>
      <c r="E170" s="20" t="s">
        <v>47</v>
      </c>
      <c r="F170" s="19">
        <f t="shared" si="59"/>
        <v>1.388888888888884E-3</v>
      </c>
      <c r="G170" s="21">
        <f t="shared" si="60"/>
        <v>1364</v>
      </c>
      <c r="H170" s="19">
        <f t="shared" si="61"/>
        <v>1.388888888888884E-3</v>
      </c>
      <c r="I170" s="27">
        <f>HOUR(H170)*60+MINUTE(H170)</f>
        <v>2</v>
      </c>
      <c r="J170" s="21">
        <f t="shared" si="62"/>
        <v>1</v>
      </c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5"/>
      <c r="AK170" s="75"/>
      <c r="AL170" s="75"/>
      <c r="AM170" s="75"/>
      <c r="AN170" s="75"/>
      <c r="AO170" s="75"/>
      <c r="AP170" s="75"/>
      <c r="AQ170" s="75"/>
      <c r="AR170" s="75"/>
      <c r="AS170" s="75"/>
      <c r="AT170" s="75"/>
      <c r="AU170" s="75"/>
      <c r="AV170" s="75"/>
      <c r="AW170" s="75"/>
      <c r="AX170" s="75"/>
      <c r="AY170" s="75"/>
      <c r="AZ170" s="75"/>
      <c r="BA170" s="75"/>
    </row>
    <row r="171" spans="1:53" s="3" customFormat="1">
      <c r="A171" s="19">
        <v>0.95</v>
      </c>
      <c r="B171" s="19">
        <v>0.95</v>
      </c>
      <c r="C171" s="19">
        <v>0.95138888888888884</v>
      </c>
      <c r="D171" s="20" t="s">
        <v>46</v>
      </c>
      <c r="E171" s="20" t="s">
        <v>47</v>
      </c>
      <c r="F171" s="19">
        <f t="shared" si="59"/>
        <v>1.388888888888884E-3</v>
      </c>
      <c r="G171" s="21">
        <f t="shared" si="60"/>
        <v>1368</v>
      </c>
      <c r="H171" s="19">
        <f t="shared" si="61"/>
        <v>1.388888888888884E-3</v>
      </c>
      <c r="I171" s="27">
        <f>HOUR(H171)*60+MINUTE(H171)</f>
        <v>2</v>
      </c>
      <c r="J171" s="21">
        <f t="shared" si="62"/>
        <v>4</v>
      </c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5"/>
      <c r="AK171" s="75"/>
      <c r="AL171" s="75"/>
      <c r="AM171" s="75"/>
      <c r="AN171" s="75"/>
      <c r="AO171" s="75"/>
      <c r="AP171" s="75"/>
      <c r="AQ171" s="75"/>
      <c r="AR171" s="75"/>
      <c r="AS171" s="75"/>
      <c r="AT171" s="75"/>
      <c r="AU171" s="75"/>
      <c r="AV171" s="75"/>
      <c r="AW171" s="75"/>
      <c r="AX171" s="75"/>
      <c r="AY171" s="75"/>
      <c r="AZ171" s="75"/>
      <c r="BA171" s="75"/>
    </row>
    <row r="172" spans="1:53" s="3" customFormat="1">
      <c r="A172" s="19">
        <v>0.95347222222222228</v>
      </c>
      <c r="B172" s="19">
        <v>0.95347222222222228</v>
      </c>
      <c r="C172" s="19">
        <v>0.95625000000000004</v>
      </c>
      <c r="D172" s="20" t="s">
        <v>46</v>
      </c>
      <c r="E172" s="20" t="s">
        <v>47</v>
      </c>
      <c r="F172" s="19">
        <f t="shared" si="59"/>
        <v>2.7777777777777679E-3</v>
      </c>
      <c r="G172" s="21">
        <f t="shared" si="60"/>
        <v>1373</v>
      </c>
      <c r="H172" s="19">
        <f t="shared" si="61"/>
        <v>2.7777777777777679E-3</v>
      </c>
      <c r="I172" s="27">
        <f>HOUR(H172)*60+MINUTE(H172)</f>
        <v>4</v>
      </c>
      <c r="J172" s="21">
        <f t="shared" si="62"/>
        <v>5</v>
      </c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5"/>
      <c r="AK172" s="75"/>
      <c r="AL172" s="75"/>
      <c r="AM172" s="75"/>
      <c r="AN172" s="75"/>
      <c r="AO172" s="75"/>
      <c r="AP172" s="75"/>
      <c r="AQ172" s="75"/>
      <c r="AR172" s="75"/>
      <c r="AS172" s="75"/>
      <c r="AT172" s="75"/>
      <c r="AU172" s="75"/>
      <c r="AV172" s="75"/>
      <c r="AW172" s="75"/>
      <c r="AX172" s="75"/>
      <c r="AY172" s="75"/>
      <c r="AZ172" s="75"/>
      <c r="BA172" s="75"/>
    </row>
    <row r="173" spans="1:53" s="6" customFormat="1">
      <c r="A173" s="22">
        <v>0.95347222222222228</v>
      </c>
      <c r="B173" s="22">
        <v>0.95347222222222228</v>
      </c>
      <c r="C173" s="22">
        <v>0.95625000000000004</v>
      </c>
      <c r="D173" s="23" t="s">
        <v>48</v>
      </c>
      <c r="E173" s="23" t="s">
        <v>47</v>
      </c>
      <c r="F173" s="22">
        <f t="shared" si="59"/>
        <v>2.7777777777777679E-3</v>
      </c>
      <c r="G173" s="24">
        <f t="shared" si="60"/>
        <v>1373</v>
      </c>
      <c r="H173" s="22">
        <f t="shared" si="61"/>
        <v>2.7777777777777679E-3</v>
      </c>
      <c r="I173" s="27">
        <f>HOUR(H173)*60+MINUTE(H173)</f>
        <v>4</v>
      </c>
      <c r="J173" s="24">
        <f t="shared" si="62"/>
        <v>0</v>
      </c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5"/>
      <c r="AK173" s="75"/>
      <c r="AL173" s="75"/>
      <c r="AM173" s="75"/>
      <c r="AN173" s="75"/>
      <c r="AO173" s="75"/>
      <c r="AP173" s="75"/>
      <c r="AQ173" s="75"/>
      <c r="AR173" s="75"/>
      <c r="AS173" s="75"/>
      <c r="AT173" s="75"/>
      <c r="AU173" s="75"/>
      <c r="AV173" s="75"/>
      <c r="AW173" s="75"/>
      <c r="AX173" s="75"/>
      <c r="AY173" s="75"/>
      <c r="AZ173" s="75"/>
      <c r="BA173" s="75"/>
    </row>
    <row r="174" spans="1:53" s="3" customFormat="1">
      <c r="A174" s="19">
        <v>0.9555555555555556</v>
      </c>
      <c r="B174" s="19">
        <v>0.95625000000000004</v>
      </c>
      <c r="C174" s="19">
        <v>0.95625000000000004</v>
      </c>
      <c r="D174" s="20" t="s">
        <v>46</v>
      </c>
      <c r="E174" s="20" t="s">
        <v>47</v>
      </c>
      <c r="F174" s="19">
        <f t="shared" si="59"/>
        <v>0</v>
      </c>
      <c r="G174" s="21">
        <f t="shared" si="60"/>
        <v>1376</v>
      </c>
      <c r="H174" s="19">
        <f t="shared" si="61"/>
        <v>0</v>
      </c>
      <c r="I174" s="27">
        <f>HOUR(H174)*60+MINUTE(H174)</f>
        <v>0</v>
      </c>
      <c r="J174" s="21">
        <f t="shared" si="62"/>
        <v>3</v>
      </c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5"/>
      <c r="AK174" s="75"/>
      <c r="AL174" s="75"/>
      <c r="AM174" s="75"/>
      <c r="AN174" s="75"/>
      <c r="AO174" s="75"/>
      <c r="AP174" s="75"/>
      <c r="AQ174" s="75"/>
      <c r="AR174" s="75"/>
      <c r="AS174" s="75"/>
      <c r="AT174" s="75"/>
      <c r="AU174" s="75"/>
      <c r="AV174" s="75"/>
      <c r="AW174" s="75"/>
      <c r="AX174" s="75"/>
      <c r="AY174" s="75"/>
      <c r="AZ174" s="75"/>
      <c r="BA174" s="75"/>
    </row>
    <row r="175" spans="1:53" s="3" customFormat="1">
      <c r="A175" s="19">
        <v>0.95625000000000004</v>
      </c>
      <c r="B175" s="19">
        <v>0.95625000000000004</v>
      </c>
      <c r="C175" s="19">
        <v>0.95763888888888893</v>
      </c>
      <c r="D175" s="20" t="s">
        <v>46</v>
      </c>
      <c r="E175" s="20" t="s">
        <v>47</v>
      </c>
      <c r="F175" s="19">
        <f t="shared" si="59"/>
        <v>1.388888888888884E-3</v>
      </c>
      <c r="G175" s="21">
        <f t="shared" si="60"/>
        <v>1377</v>
      </c>
      <c r="H175" s="19">
        <f t="shared" si="61"/>
        <v>1.388888888888884E-3</v>
      </c>
      <c r="I175" s="27">
        <f>HOUR(H175)*60+MINUTE(H175)</f>
        <v>2</v>
      </c>
      <c r="J175" s="21">
        <f>G175-G174</f>
        <v>1</v>
      </c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5"/>
      <c r="AK175" s="75"/>
      <c r="AL175" s="75"/>
      <c r="AM175" s="75"/>
      <c r="AN175" s="75"/>
      <c r="AO175" s="75"/>
      <c r="AP175" s="75"/>
      <c r="AQ175" s="75"/>
      <c r="AR175" s="75"/>
      <c r="AS175" s="75"/>
      <c r="AT175" s="75"/>
      <c r="AU175" s="75"/>
      <c r="AV175" s="75"/>
      <c r="AW175" s="75"/>
      <c r="AX175" s="75"/>
      <c r="AY175" s="75"/>
      <c r="AZ175" s="75"/>
      <c r="BA175" s="75"/>
    </row>
    <row r="176" spans="1:53">
      <c r="A176" t="s">
        <v>83</v>
      </c>
      <c r="C176" s="1">
        <f>AVERAGE(J3:J45)</f>
        <v>4.0697674418604652</v>
      </c>
      <c r="D176" t="s">
        <v>84</v>
      </c>
      <c r="E176" s="1">
        <f>AVERAGE(I2:I45)</f>
        <v>3.8181818181818183</v>
      </c>
      <c r="G176" s="1">
        <f>AVERAGE(G2:G175)</f>
        <v>1027.8620689655172</v>
      </c>
      <c r="I176" s="1">
        <f>AVERAGE(I2:I175)</f>
        <v>3.9252873563218391</v>
      </c>
      <c r="J176" s="1">
        <f>AVERAGE(J3:J175)</f>
        <v>4.1329479768786124</v>
      </c>
      <c r="K176" s="75" t="s">
        <v>85</v>
      </c>
      <c r="L176" s="75">
        <f>1/J176</f>
        <v>0.24195804195804199</v>
      </c>
      <c r="M176" s="75" t="s">
        <v>86</v>
      </c>
      <c r="N176" s="75">
        <f>L176*60</f>
        <v>14.51748251748252</v>
      </c>
      <c r="O176" s="75" t="s">
        <v>87</v>
      </c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75"/>
      <c r="AV176" s="75"/>
      <c r="AW176" s="75"/>
      <c r="AX176" s="75"/>
      <c r="AY176" s="75"/>
      <c r="AZ176" s="75"/>
      <c r="BA176" s="75"/>
    </row>
    <row r="177" spans="1:53">
      <c r="A177" t="s">
        <v>38</v>
      </c>
      <c r="B177">
        <f>1/C176</f>
        <v>0.24571428571428572</v>
      </c>
      <c r="D177" t="s">
        <v>88</v>
      </c>
      <c r="E177">
        <f>1/E176</f>
        <v>0.26190476190476192</v>
      </c>
      <c r="I177" s="1">
        <f>MAX(I2:I75)</f>
        <v>14</v>
      </c>
      <c r="K177" s="75" t="s">
        <v>89</v>
      </c>
      <c r="L177" s="75">
        <f>1/L176^2</f>
        <v>17.081258979585012</v>
      </c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</row>
    <row r="178" spans="1:53" s="8" customFormat="1">
      <c r="A178" s="8" t="s">
        <v>90</v>
      </c>
      <c r="I178" s="9"/>
      <c r="J178" s="8" t="s">
        <v>13</v>
      </c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</row>
    <row r="179" spans="1:53">
      <c r="A179" s="2">
        <v>0.58402777777777781</v>
      </c>
      <c r="B179" s="2">
        <v>0.58402777777777781</v>
      </c>
      <c r="C179" s="2">
        <v>0.58680555555555558</v>
      </c>
      <c r="D179" s="3" t="s">
        <v>46</v>
      </c>
      <c r="E179" s="3" t="s">
        <v>47</v>
      </c>
      <c r="F179" s="2">
        <f t="shared" ref="F179:F241" si="68">C179-B179</f>
        <v>2.7777777777777679E-3</v>
      </c>
      <c r="G179" s="4">
        <f t="shared" ref="G179:G241" si="69">HOUR(A179)*60+MINUTE(A179)</f>
        <v>841</v>
      </c>
      <c r="H179" s="2">
        <f t="shared" ref="H179:H241" si="70">C179-B179</f>
        <v>2.7777777777777679E-3</v>
      </c>
      <c r="I179" s="4">
        <f>HOUR(H179)*60+MINUTE(H179)</f>
        <v>4</v>
      </c>
      <c r="J179" s="4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5"/>
      <c r="AK179" s="75"/>
      <c r="AL179" s="75"/>
      <c r="AM179" s="75"/>
      <c r="AN179" s="75"/>
      <c r="AO179" s="75"/>
      <c r="AP179" s="75"/>
      <c r="AQ179" s="75"/>
      <c r="AR179" s="75"/>
      <c r="AS179" s="75"/>
      <c r="AT179" s="75"/>
      <c r="AU179" s="75"/>
      <c r="AV179" s="75"/>
      <c r="AW179" s="75"/>
      <c r="AX179" s="75"/>
      <c r="AY179" s="75"/>
      <c r="AZ179" s="75"/>
      <c r="BA179" s="75"/>
    </row>
    <row r="180" spans="1:53">
      <c r="A180" s="2">
        <v>0.58750000000000002</v>
      </c>
      <c r="B180" s="2">
        <v>0.58750000000000002</v>
      </c>
      <c r="C180" s="2">
        <v>0.58750000000000002</v>
      </c>
      <c r="D180" s="3" t="s">
        <v>46</v>
      </c>
      <c r="E180" s="3" t="s">
        <v>47</v>
      </c>
      <c r="F180" s="2">
        <f t="shared" si="68"/>
        <v>0</v>
      </c>
      <c r="G180" s="4">
        <f t="shared" si="69"/>
        <v>846</v>
      </c>
      <c r="H180" s="2">
        <f t="shared" si="70"/>
        <v>0</v>
      </c>
      <c r="I180" s="4">
        <f>HOUR(H180)*60+MINUTE(H180)</f>
        <v>0</v>
      </c>
      <c r="J180" s="4">
        <f>G180-G179</f>
        <v>5</v>
      </c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  <c r="AK180" s="75"/>
      <c r="AL180" s="75"/>
      <c r="AM180" s="75"/>
      <c r="AN180" s="75"/>
      <c r="AO180" s="75"/>
      <c r="AP180" s="75"/>
      <c r="AQ180" s="75"/>
      <c r="AR180" s="75"/>
      <c r="AS180" s="75"/>
      <c r="AT180" s="75"/>
      <c r="AU180" s="75"/>
      <c r="AV180" s="75"/>
      <c r="AW180" s="75"/>
      <c r="AX180" s="75"/>
      <c r="AY180" s="75"/>
      <c r="AZ180" s="75"/>
      <c r="BA180" s="75"/>
    </row>
    <row r="181" spans="1:53">
      <c r="A181" s="2">
        <v>0.58958333333333335</v>
      </c>
      <c r="B181" s="2">
        <v>0.58958333333333335</v>
      </c>
      <c r="C181" s="2">
        <v>0.59097222222222223</v>
      </c>
      <c r="D181" s="3" t="s">
        <v>46</v>
      </c>
      <c r="E181" s="3" t="s">
        <v>47</v>
      </c>
      <c r="F181" s="2">
        <f t="shared" si="68"/>
        <v>1.388888888888884E-3</v>
      </c>
      <c r="G181" s="4">
        <f t="shared" si="69"/>
        <v>849</v>
      </c>
      <c r="H181" s="2">
        <f t="shared" si="70"/>
        <v>1.388888888888884E-3</v>
      </c>
      <c r="I181" s="4">
        <f>HOUR(H181)*60+MINUTE(H181)</f>
        <v>2</v>
      </c>
      <c r="J181" s="4">
        <f t="shared" ref="J181:J244" si="71">G181-G180</f>
        <v>3</v>
      </c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5"/>
      <c r="AK181" s="75"/>
      <c r="AL181" s="75"/>
      <c r="AM181" s="75"/>
      <c r="AN181" s="75"/>
      <c r="AO181" s="75"/>
      <c r="AP181" s="75"/>
      <c r="AQ181" s="75"/>
      <c r="AR181" s="75"/>
      <c r="AS181" s="75"/>
      <c r="AT181" s="75"/>
      <c r="AU181" s="75"/>
      <c r="AV181" s="75"/>
      <c r="AW181" s="75"/>
      <c r="AX181" s="75"/>
      <c r="AY181" s="75"/>
      <c r="AZ181" s="75"/>
      <c r="BA181" s="75"/>
    </row>
    <row r="182" spans="1:53">
      <c r="A182" s="2">
        <v>0.60138888888888886</v>
      </c>
      <c r="B182" s="2">
        <v>0.60138888888888886</v>
      </c>
      <c r="C182" s="2">
        <v>0.6020833333333333</v>
      </c>
      <c r="D182" s="3" t="s">
        <v>46</v>
      </c>
      <c r="E182" s="3" t="s">
        <v>47</v>
      </c>
      <c r="F182" s="2">
        <f t="shared" si="68"/>
        <v>6.9444444444444198E-4</v>
      </c>
      <c r="G182" s="4">
        <f t="shared" si="69"/>
        <v>866</v>
      </c>
      <c r="H182" s="2">
        <f t="shared" si="70"/>
        <v>6.9444444444444198E-4</v>
      </c>
      <c r="I182" s="4">
        <f>HOUR(H182)*60+MINUTE(H182)</f>
        <v>1</v>
      </c>
      <c r="J182" s="4">
        <f t="shared" si="71"/>
        <v>17</v>
      </c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5"/>
      <c r="AK182" s="75"/>
      <c r="AL182" s="75"/>
      <c r="AM182" s="75"/>
      <c r="AN182" s="75"/>
      <c r="AO182" s="75"/>
      <c r="AP182" s="75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</row>
    <row r="183" spans="1:53">
      <c r="A183" s="2">
        <v>0.60624999999999996</v>
      </c>
      <c r="B183" s="2">
        <v>0.60624999999999996</v>
      </c>
      <c r="C183" s="2">
        <v>0.61597222222222225</v>
      </c>
      <c r="D183" s="3" t="s">
        <v>46</v>
      </c>
      <c r="E183" s="3" t="s">
        <v>47</v>
      </c>
      <c r="F183" s="2">
        <f t="shared" si="68"/>
        <v>9.7222222222222987E-3</v>
      </c>
      <c r="G183" s="4">
        <f t="shared" si="69"/>
        <v>873</v>
      </c>
      <c r="H183" s="2">
        <f t="shared" si="70"/>
        <v>9.7222222222222987E-3</v>
      </c>
      <c r="I183" s="4">
        <f>HOUR(H183)*60+MINUTE(H183)</f>
        <v>14</v>
      </c>
      <c r="J183" s="4">
        <f t="shared" si="71"/>
        <v>7</v>
      </c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75"/>
      <c r="AM183" s="75"/>
      <c r="AN183" s="75"/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</row>
    <row r="184" spans="1:53">
      <c r="A184" s="2">
        <v>0.62222222222222223</v>
      </c>
      <c r="B184" s="2">
        <v>0.62222222222222223</v>
      </c>
      <c r="C184" s="2">
        <v>0.62777777777777777</v>
      </c>
      <c r="D184" s="3" t="s">
        <v>46</v>
      </c>
      <c r="E184" s="3" t="s">
        <v>47</v>
      </c>
      <c r="F184" s="2">
        <f t="shared" si="68"/>
        <v>5.5555555555555358E-3</v>
      </c>
      <c r="G184" s="4">
        <f t="shared" si="69"/>
        <v>896</v>
      </c>
      <c r="H184" s="2">
        <f t="shared" si="70"/>
        <v>5.5555555555555358E-3</v>
      </c>
      <c r="I184" s="4">
        <f>HOUR(H184)*60+MINUTE(H184)</f>
        <v>8</v>
      </c>
      <c r="J184" s="4">
        <f t="shared" si="71"/>
        <v>23</v>
      </c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5"/>
      <c r="AK184" s="75"/>
      <c r="AL184" s="75"/>
      <c r="AM184" s="75"/>
      <c r="AN184" s="75"/>
      <c r="AO184" s="75"/>
      <c r="AP184" s="75"/>
      <c r="AQ184" s="75"/>
      <c r="AR184" s="75"/>
      <c r="AS184" s="75"/>
      <c r="AT184" s="75"/>
      <c r="AU184" s="75"/>
      <c r="AV184" s="75"/>
      <c r="AW184" s="75"/>
      <c r="AX184" s="75"/>
      <c r="AY184" s="75"/>
      <c r="AZ184" s="75"/>
      <c r="BA184" s="75"/>
    </row>
    <row r="185" spans="1:53">
      <c r="A185" s="2">
        <v>0.63263888888888886</v>
      </c>
      <c r="B185" s="2">
        <v>0.63263888888888886</v>
      </c>
      <c r="C185" s="2">
        <v>0.63680555555555551</v>
      </c>
      <c r="D185" s="3" t="s">
        <v>46</v>
      </c>
      <c r="E185" s="3" t="s">
        <v>47</v>
      </c>
      <c r="F185" s="2">
        <f t="shared" si="68"/>
        <v>4.1666666666666519E-3</v>
      </c>
      <c r="G185" s="4">
        <f t="shared" si="69"/>
        <v>911</v>
      </c>
      <c r="H185" s="2">
        <f t="shared" si="70"/>
        <v>4.1666666666666519E-3</v>
      </c>
      <c r="I185" s="4">
        <f>HOUR(H185)*60+MINUTE(H185)</f>
        <v>6</v>
      </c>
      <c r="J185" s="4">
        <f t="shared" si="71"/>
        <v>15</v>
      </c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75"/>
      <c r="AV185" s="75"/>
      <c r="AW185" s="75"/>
      <c r="AX185" s="75"/>
      <c r="AY185" s="75"/>
      <c r="AZ185" s="75"/>
      <c r="BA185" s="75"/>
    </row>
    <row r="186" spans="1:53">
      <c r="A186" s="2">
        <v>0.63402777777777775</v>
      </c>
      <c r="B186" s="2">
        <v>0.63680555555555551</v>
      </c>
      <c r="C186" s="2">
        <v>0.63888888888888884</v>
      </c>
      <c r="D186" s="3" t="s">
        <v>46</v>
      </c>
      <c r="E186" s="3" t="s">
        <v>47</v>
      </c>
      <c r="F186" s="2">
        <f t="shared" si="68"/>
        <v>2.0833333333333259E-3</v>
      </c>
      <c r="G186" s="4">
        <f t="shared" si="69"/>
        <v>913</v>
      </c>
      <c r="H186" s="2">
        <f t="shared" si="70"/>
        <v>2.0833333333333259E-3</v>
      </c>
      <c r="I186" s="4">
        <f>HOUR(H186)*60+MINUTE(H186)</f>
        <v>3</v>
      </c>
      <c r="J186" s="4">
        <f t="shared" si="71"/>
        <v>2</v>
      </c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5"/>
      <c r="AK186" s="75"/>
      <c r="AL186" s="75"/>
      <c r="AM186" s="75"/>
      <c r="AN186" s="75"/>
      <c r="AO186" s="75"/>
      <c r="AP186" s="75"/>
      <c r="AQ186" s="75"/>
      <c r="AR186" s="75"/>
      <c r="AS186" s="75"/>
      <c r="AT186" s="75"/>
      <c r="AU186" s="75"/>
      <c r="AV186" s="75"/>
      <c r="AW186" s="75"/>
      <c r="AX186" s="75"/>
      <c r="AY186" s="75"/>
      <c r="AZ186" s="75"/>
      <c r="BA186" s="75"/>
    </row>
    <row r="187" spans="1:53">
      <c r="A187" s="2">
        <v>0.63749999999999996</v>
      </c>
      <c r="B187" s="2">
        <v>0.63888888888888884</v>
      </c>
      <c r="C187" s="2">
        <v>0.63958333333333328</v>
      </c>
      <c r="D187" s="3" t="s">
        <v>46</v>
      </c>
      <c r="E187" s="3" t="s">
        <v>47</v>
      </c>
      <c r="F187" s="2">
        <f t="shared" si="68"/>
        <v>6.9444444444444198E-4</v>
      </c>
      <c r="G187" s="4">
        <f t="shared" si="69"/>
        <v>918</v>
      </c>
      <c r="H187" s="2">
        <f t="shared" si="70"/>
        <v>6.9444444444444198E-4</v>
      </c>
      <c r="I187" s="4">
        <f>HOUR(H187)*60+MINUTE(H187)</f>
        <v>1</v>
      </c>
      <c r="J187" s="4">
        <f t="shared" si="71"/>
        <v>5</v>
      </c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  <c r="AK187" s="75"/>
      <c r="AL187" s="75"/>
      <c r="AM187" s="75"/>
      <c r="AN187" s="75"/>
      <c r="AO187" s="75"/>
      <c r="AP187" s="75"/>
      <c r="AQ187" s="75"/>
      <c r="AR187" s="75"/>
      <c r="AS187" s="75"/>
      <c r="AT187" s="75"/>
      <c r="AU187" s="75"/>
      <c r="AV187" s="75"/>
      <c r="AW187" s="75"/>
      <c r="AX187" s="75"/>
      <c r="AY187" s="75"/>
      <c r="AZ187" s="75"/>
      <c r="BA187" s="75"/>
    </row>
    <row r="188" spans="1:53">
      <c r="A188" s="2">
        <v>0.6430555555555556</v>
      </c>
      <c r="B188" s="2">
        <v>0.6430555555555556</v>
      </c>
      <c r="C188" s="2">
        <v>0.6430555555555556</v>
      </c>
      <c r="D188" s="3" t="s">
        <v>46</v>
      </c>
      <c r="E188" s="3" t="s">
        <v>47</v>
      </c>
      <c r="F188" s="2">
        <f t="shared" si="68"/>
        <v>0</v>
      </c>
      <c r="G188" s="4">
        <f t="shared" si="69"/>
        <v>926</v>
      </c>
      <c r="H188" s="2">
        <f t="shared" si="70"/>
        <v>0</v>
      </c>
      <c r="I188" s="4">
        <f>HOUR(H188)*60+MINUTE(H188)</f>
        <v>0</v>
      </c>
      <c r="J188" s="4">
        <f t="shared" si="71"/>
        <v>8</v>
      </c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75"/>
      <c r="AK188" s="75"/>
      <c r="AL188" s="75"/>
      <c r="AM188" s="75"/>
      <c r="AN188" s="75"/>
      <c r="AO188" s="75"/>
      <c r="AP188" s="75"/>
      <c r="AQ188" s="75"/>
      <c r="AR188" s="75"/>
      <c r="AS188" s="75"/>
      <c r="AT188" s="75"/>
      <c r="AU188" s="75"/>
      <c r="AV188" s="75"/>
      <c r="AW188" s="75"/>
      <c r="AX188" s="75"/>
      <c r="AY188" s="75"/>
      <c r="AZ188" s="75"/>
      <c r="BA188" s="75"/>
    </row>
    <row r="189" spans="1:53">
      <c r="A189" s="2">
        <v>0.64444444444444449</v>
      </c>
      <c r="B189" s="2">
        <v>0.64444444444444449</v>
      </c>
      <c r="C189" s="2">
        <v>0.64722222222222225</v>
      </c>
      <c r="D189" s="3" t="s">
        <v>46</v>
      </c>
      <c r="E189" s="3" t="s">
        <v>47</v>
      </c>
      <c r="F189" s="2">
        <f t="shared" si="68"/>
        <v>2.7777777777777679E-3</v>
      </c>
      <c r="G189" s="4">
        <f t="shared" si="69"/>
        <v>928</v>
      </c>
      <c r="H189" s="2">
        <f t="shared" si="70"/>
        <v>2.7777777777777679E-3</v>
      </c>
      <c r="I189" s="4">
        <f>HOUR(H189)*60+MINUTE(H189)</f>
        <v>4</v>
      </c>
      <c r="J189" s="4">
        <f t="shared" si="71"/>
        <v>2</v>
      </c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75"/>
      <c r="AK189" s="75"/>
      <c r="AL189" s="75"/>
      <c r="AM189" s="75"/>
      <c r="AN189" s="75"/>
      <c r="AO189" s="75"/>
      <c r="AP189" s="75"/>
      <c r="AQ189" s="75"/>
      <c r="AR189" s="75"/>
      <c r="AS189" s="75"/>
      <c r="AT189" s="75"/>
      <c r="AU189" s="75"/>
      <c r="AV189" s="75"/>
      <c r="AW189" s="75"/>
      <c r="AX189" s="75"/>
      <c r="AY189" s="75"/>
      <c r="AZ189" s="75"/>
      <c r="BA189" s="75"/>
    </row>
    <row r="190" spans="1:53">
      <c r="A190" s="2">
        <v>0.6479166666666667</v>
      </c>
      <c r="B190" s="2">
        <v>0.6479166666666667</v>
      </c>
      <c r="C190" s="2">
        <v>0.65555555555555556</v>
      </c>
      <c r="D190" s="3" t="s">
        <v>46</v>
      </c>
      <c r="E190" s="3" t="s">
        <v>47</v>
      </c>
      <c r="F190" s="2">
        <f t="shared" si="68"/>
        <v>7.6388888888888618E-3</v>
      </c>
      <c r="G190" s="4">
        <f t="shared" si="69"/>
        <v>933</v>
      </c>
      <c r="H190" s="2">
        <f t="shared" si="70"/>
        <v>7.6388888888888618E-3</v>
      </c>
      <c r="I190" s="4">
        <f>HOUR(H190)*60+MINUTE(H190)</f>
        <v>11</v>
      </c>
      <c r="J190" s="4">
        <f t="shared" si="71"/>
        <v>5</v>
      </c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75"/>
      <c r="AK190" s="75"/>
      <c r="AL190" s="75"/>
      <c r="AM190" s="75"/>
      <c r="AN190" s="75"/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</row>
    <row r="191" spans="1:53">
      <c r="A191" s="2">
        <v>0.65347222222222223</v>
      </c>
      <c r="B191" s="2">
        <v>0.65555555555555556</v>
      </c>
      <c r="C191" s="2">
        <v>0.66249999999999998</v>
      </c>
      <c r="D191" s="3" t="s">
        <v>46</v>
      </c>
      <c r="E191" s="3" t="s">
        <v>47</v>
      </c>
      <c r="F191" s="2">
        <f t="shared" si="68"/>
        <v>6.9444444444444198E-3</v>
      </c>
      <c r="G191" s="4">
        <f t="shared" si="69"/>
        <v>941</v>
      </c>
      <c r="H191" s="2">
        <f t="shared" si="70"/>
        <v>6.9444444444444198E-3</v>
      </c>
      <c r="I191" s="4">
        <f>HOUR(H191)*60+MINUTE(H191)</f>
        <v>10</v>
      </c>
      <c r="J191" s="4">
        <f t="shared" si="71"/>
        <v>8</v>
      </c>
      <c r="K191" s="75"/>
      <c r="Y191" s="75"/>
      <c r="Z191" s="75"/>
    </row>
    <row r="192" spans="1:53">
      <c r="A192" s="2">
        <v>0.66736111111111107</v>
      </c>
      <c r="B192" s="2">
        <v>0.66736111111111107</v>
      </c>
      <c r="C192" s="2">
        <v>0.66736111111111107</v>
      </c>
      <c r="D192" s="3" t="s">
        <v>46</v>
      </c>
      <c r="E192" s="3" t="s">
        <v>47</v>
      </c>
      <c r="F192" s="2">
        <f t="shared" si="68"/>
        <v>0</v>
      </c>
      <c r="G192" s="4">
        <f t="shared" si="69"/>
        <v>961</v>
      </c>
      <c r="H192" s="2">
        <f t="shared" si="70"/>
        <v>0</v>
      </c>
      <c r="I192" s="4">
        <f>HOUR(H192)*60+MINUTE(H192)</f>
        <v>0</v>
      </c>
      <c r="J192" s="4">
        <f t="shared" si="71"/>
        <v>20</v>
      </c>
      <c r="K192" s="75"/>
      <c r="Y192" s="75"/>
      <c r="Z192" s="75"/>
    </row>
    <row r="193" spans="1:26">
      <c r="A193" s="2">
        <v>0.67222222222222228</v>
      </c>
      <c r="B193" s="2">
        <v>0.67222222222222228</v>
      </c>
      <c r="C193" s="2">
        <v>0.6791666666666667</v>
      </c>
      <c r="D193" s="3" t="s">
        <v>46</v>
      </c>
      <c r="E193" s="3" t="s">
        <v>47</v>
      </c>
      <c r="F193" s="2">
        <f t="shared" si="68"/>
        <v>6.9444444444444198E-3</v>
      </c>
      <c r="G193" s="4">
        <f t="shared" si="69"/>
        <v>968</v>
      </c>
      <c r="H193" s="2">
        <f t="shared" si="70"/>
        <v>6.9444444444444198E-3</v>
      </c>
      <c r="I193" s="4">
        <f>HOUR(H193)*60+MINUTE(H193)</f>
        <v>10</v>
      </c>
      <c r="J193" s="4">
        <f t="shared" si="71"/>
        <v>7</v>
      </c>
      <c r="K193" s="75"/>
      <c r="Y193" s="75"/>
      <c r="Z193" s="75"/>
    </row>
    <row r="194" spans="1:26">
      <c r="A194" s="2">
        <v>0.67777777777777781</v>
      </c>
      <c r="B194" s="2">
        <v>0.6791666666666667</v>
      </c>
      <c r="C194" s="2">
        <v>0.68819444444444444</v>
      </c>
      <c r="D194" s="3" t="s">
        <v>46</v>
      </c>
      <c r="E194" s="3" t="s">
        <v>47</v>
      </c>
      <c r="F194" s="2">
        <f t="shared" si="68"/>
        <v>9.0277777777777457E-3</v>
      </c>
      <c r="G194" s="4">
        <f t="shared" si="69"/>
        <v>976</v>
      </c>
      <c r="H194" s="2">
        <f t="shared" si="70"/>
        <v>9.0277777777777457E-3</v>
      </c>
      <c r="I194" s="4">
        <f>HOUR(H194)*60+MINUTE(H194)</f>
        <v>13</v>
      </c>
      <c r="J194" s="4">
        <f t="shared" si="71"/>
        <v>8</v>
      </c>
      <c r="K194" s="75"/>
      <c r="Y194" s="75"/>
      <c r="Z194" s="75"/>
    </row>
    <row r="195" spans="1:26">
      <c r="A195" s="2">
        <v>0.68611111111111112</v>
      </c>
      <c r="B195" s="2">
        <v>0.68819444444444444</v>
      </c>
      <c r="C195" s="2">
        <v>0.68958333333333333</v>
      </c>
      <c r="D195" s="3" t="s">
        <v>46</v>
      </c>
      <c r="E195" s="3" t="s">
        <v>47</v>
      </c>
      <c r="F195" s="2">
        <f t="shared" si="68"/>
        <v>1.388888888888884E-3</v>
      </c>
      <c r="G195" s="4">
        <f t="shared" si="69"/>
        <v>988</v>
      </c>
      <c r="H195" s="2">
        <f t="shared" si="70"/>
        <v>1.388888888888884E-3</v>
      </c>
      <c r="I195" s="4">
        <f>HOUR(H195)*60+MINUTE(H195)</f>
        <v>2</v>
      </c>
      <c r="J195" s="4">
        <f t="shared" si="71"/>
        <v>12</v>
      </c>
      <c r="K195" s="75"/>
    </row>
    <row r="196" spans="1:26">
      <c r="A196" s="2">
        <v>0.69027777777777777</v>
      </c>
      <c r="B196" s="2">
        <v>0.69027777777777777</v>
      </c>
      <c r="C196" s="2">
        <v>0.69166666666666665</v>
      </c>
      <c r="D196" s="3" t="s">
        <v>46</v>
      </c>
      <c r="E196" s="3" t="s">
        <v>47</v>
      </c>
      <c r="F196" s="2">
        <f t="shared" si="68"/>
        <v>1.388888888888884E-3</v>
      </c>
      <c r="G196" s="4">
        <f t="shared" si="69"/>
        <v>994</v>
      </c>
      <c r="H196" s="2">
        <f t="shared" si="70"/>
        <v>1.388888888888884E-3</v>
      </c>
      <c r="I196" s="4">
        <f>HOUR(H196)*60+MINUTE(H196)</f>
        <v>2</v>
      </c>
      <c r="J196" s="4">
        <f t="shared" si="71"/>
        <v>6</v>
      </c>
      <c r="K196" s="75"/>
    </row>
    <row r="197" spans="1:26">
      <c r="A197" s="2">
        <v>0.69236111111111109</v>
      </c>
      <c r="B197" s="2">
        <v>0.69236111111111109</v>
      </c>
      <c r="C197" s="2">
        <v>0.69305555555555554</v>
      </c>
      <c r="D197" s="3" t="s">
        <v>46</v>
      </c>
      <c r="E197" s="3" t="s">
        <v>47</v>
      </c>
      <c r="F197" s="2">
        <f t="shared" si="68"/>
        <v>6.9444444444444198E-4</v>
      </c>
      <c r="G197" s="4">
        <f t="shared" si="69"/>
        <v>997</v>
      </c>
      <c r="H197" s="2">
        <f t="shared" si="70"/>
        <v>6.9444444444444198E-4</v>
      </c>
      <c r="I197" s="4">
        <f>HOUR(H197)*60+MINUTE(H197)</f>
        <v>1</v>
      </c>
      <c r="J197" s="4">
        <f t="shared" si="71"/>
        <v>3</v>
      </c>
      <c r="K197" s="75"/>
    </row>
    <row r="198" spans="1:26">
      <c r="A198" s="2">
        <v>0.69236111111111109</v>
      </c>
      <c r="B198" s="2">
        <v>0.69305555555555554</v>
      </c>
      <c r="C198" s="2">
        <v>0.69374999999999998</v>
      </c>
      <c r="D198" s="3" t="s">
        <v>46</v>
      </c>
      <c r="E198" s="3" t="s">
        <v>47</v>
      </c>
      <c r="F198" s="2">
        <f t="shared" si="68"/>
        <v>6.9444444444444198E-4</v>
      </c>
      <c r="G198" s="4">
        <f t="shared" si="69"/>
        <v>997</v>
      </c>
      <c r="H198" s="2">
        <f t="shared" si="70"/>
        <v>6.9444444444444198E-4</v>
      </c>
      <c r="I198" s="4">
        <f>HOUR(H198)*60+MINUTE(H198)</f>
        <v>1</v>
      </c>
      <c r="J198" s="4">
        <f t="shared" si="71"/>
        <v>0</v>
      </c>
      <c r="K198" s="75"/>
    </row>
    <row r="199" spans="1:26">
      <c r="A199" s="2">
        <v>0.69861111111111107</v>
      </c>
      <c r="B199" s="2">
        <v>0.69861111111111107</v>
      </c>
      <c r="C199" s="2">
        <v>0.7006944444444444</v>
      </c>
      <c r="D199" s="3" t="s">
        <v>46</v>
      </c>
      <c r="E199" s="3" t="s">
        <v>47</v>
      </c>
      <c r="F199" s="2">
        <f t="shared" si="68"/>
        <v>2.0833333333333259E-3</v>
      </c>
      <c r="G199" s="4">
        <f t="shared" si="69"/>
        <v>1006</v>
      </c>
      <c r="H199" s="2">
        <f t="shared" si="70"/>
        <v>2.0833333333333259E-3</v>
      </c>
      <c r="I199" s="4">
        <f>HOUR(H199)*60+MINUTE(H199)</f>
        <v>3</v>
      </c>
      <c r="J199" s="4">
        <f t="shared" si="71"/>
        <v>9</v>
      </c>
      <c r="K199" s="75"/>
    </row>
    <row r="200" spans="1:26">
      <c r="A200" s="2">
        <v>0.70138888888888884</v>
      </c>
      <c r="B200" s="2">
        <v>0.70138888888888884</v>
      </c>
      <c r="C200" s="2">
        <v>0.70902777777777781</v>
      </c>
      <c r="D200" s="3" t="s">
        <v>46</v>
      </c>
      <c r="E200" s="3" t="s">
        <v>47</v>
      </c>
      <c r="F200" s="2">
        <f t="shared" si="68"/>
        <v>7.6388888888889728E-3</v>
      </c>
      <c r="G200" s="4">
        <f t="shared" si="69"/>
        <v>1010</v>
      </c>
      <c r="H200" s="2">
        <f t="shared" si="70"/>
        <v>7.6388888888889728E-3</v>
      </c>
      <c r="I200" s="4">
        <f>HOUR(H200)*60+MINUTE(H200)</f>
        <v>11</v>
      </c>
      <c r="J200" s="4">
        <f t="shared" si="71"/>
        <v>4</v>
      </c>
      <c r="K200" s="75"/>
    </row>
    <row r="201" spans="1:26">
      <c r="A201" s="2">
        <v>0.70972222222222225</v>
      </c>
      <c r="B201" s="2">
        <v>0.70972222222222225</v>
      </c>
      <c r="C201" s="2">
        <v>0.72222222222222221</v>
      </c>
      <c r="D201" s="3" t="s">
        <v>46</v>
      </c>
      <c r="E201" s="3" t="s">
        <v>47</v>
      </c>
      <c r="F201" s="2">
        <f t="shared" si="68"/>
        <v>1.2499999999999956E-2</v>
      </c>
      <c r="G201" s="4">
        <f t="shared" si="69"/>
        <v>1022</v>
      </c>
      <c r="H201" s="2">
        <f t="shared" si="70"/>
        <v>1.2499999999999956E-2</v>
      </c>
      <c r="I201" s="4">
        <f>HOUR(H201)*60+MINUTE(H201)</f>
        <v>18</v>
      </c>
      <c r="J201" s="4">
        <f t="shared" si="71"/>
        <v>12</v>
      </c>
      <c r="K201" s="75"/>
    </row>
    <row r="202" spans="1:26">
      <c r="A202" s="2">
        <v>0.72222222222222221</v>
      </c>
      <c r="B202" s="2">
        <v>0.72222222222222221</v>
      </c>
      <c r="C202" s="2">
        <v>0.72638888888888886</v>
      </c>
      <c r="D202" s="3" t="s">
        <v>46</v>
      </c>
      <c r="E202" s="3" t="s">
        <v>47</v>
      </c>
      <c r="F202" s="2">
        <f t="shared" si="68"/>
        <v>4.1666666666666519E-3</v>
      </c>
      <c r="G202" s="4">
        <f t="shared" si="69"/>
        <v>1040</v>
      </c>
      <c r="H202" s="2">
        <f t="shared" si="70"/>
        <v>4.1666666666666519E-3</v>
      </c>
      <c r="I202" s="4">
        <f>HOUR(H202)*60+MINUTE(H202)</f>
        <v>6</v>
      </c>
      <c r="J202" s="4">
        <f t="shared" si="71"/>
        <v>18</v>
      </c>
      <c r="K202" s="75"/>
    </row>
    <row r="203" spans="1:26">
      <c r="A203" s="2">
        <v>0.72569444444444442</v>
      </c>
      <c r="B203" s="2">
        <v>0.72638888888888886</v>
      </c>
      <c r="C203" s="2">
        <v>0.72916666666666663</v>
      </c>
      <c r="D203" s="3" t="s">
        <v>46</v>
      </c>
      <c r="E203" s="3" t="s">
        <v>47</v>
      </c>
      <c r="F203" s="2">
        <f t="shared" si="68"/>
        <v>2.7777777777777679E-3</v>
      </c>
      <c r="G203" s="4">
        <f t="shared" si="69"/>
        <v>1045</v>
      </c>
      <c r="H203" s="2">
        <f t="shared" si="70"/>
        <v>2.7777777777777679E-3</v>
      </c>
      <c r="I203" s="4">
        <f>HOUR(H203)*60+MINUTE(H203)</f>
        <v>4</v>
      </c>
      <c r="J203" s="4">
        <f t="shared" si="71"/>
        <v>5</v>
      </c>
      <c r="K203" s="75"/>
    </row>
    <row r="204" spans="1:26">
      <c r="A204" s="2">
        <v>0.73055555555555551</v>
      </c>
      <c r="B204" s="2">
        <v>0.73055555555555551</v>
      </c>
      <c r="C204" s="2">
        <v>0.73402777777777772</v>
      </c>
      <c r="D204" s="3" t="s">
        <v>46</v>
      </c>
      <c r="E204" s="3" t="s">
        <v>47</v>
      </c>
      <c r="F204" s="2">
        <f t="shared" si="68"/>
        <v>3.4722222222222099E-3</v>
      </c>
      <c r="G204" s="4">
        <f t="shared" si="69"/>
        <v>1052</v>
      </c>
      <c r="H204" s="2">
        <f t="shared" si="70"/>
        <v>3.4722222222222099E-3</v>
      </c>
      <c r="I204" s="4">
        <f>HOUR(H204)*60+MINUTE(H204)</f>
        <v>5</v>
      </c>
      <c r="J204" s="4">
        <f t="shared" si="71"/>
        <v>7</v>
      </c>
      <c r="K204" s="75"/>
    </row>
    <row r="205" spans="1:26">
      <c r="A205" s="2">
        <v>0.73750000000000004</v>
      </c>
      <c r="B205" s="2">
        <v>0.73750000000000004</v>
      </c>
      <c r="C205" s="2">
        <v>0.73819444444444449</v>
      </c>
      <c r="D205" s="3" t="s">
        <v>46</v>
      </c>
      <c r="E205" s="3" t="s">
        <v>47</v>
      </c>
      <c r="F205" s="2">
        <f t="shared" si="68"/>
        <v>6.9444444444444198E-4</v>
      </c>
      <c r="G205" s="4">
        <f t="shared" si="69"/>
        <v>1062</v>
      </c>
      <c r="H205" s="2">
        <f t="shared" si="70"/>
        <v>6.9444444444444198E-4</v>
      </c>
      <c r="I205" s="4">
        <f>HOUR(H205)*60+MINUTE(H205)</f>
        <v>1</v>
      </c>
      <c r="J205" s="4">
        <f t="shared" si="71"/>
        <v>10</v>
      </c>
      <c r="K205" s="75"/>
    </row>
    <row r="206" spans="1:26">
      <c r="A206" s="2">
        <v>0.73958333333333337</v>
      </c>
      <c r="B206" s="2">
        <v>0.73958333333333337</v>
      </c>
      <c r="C206" s="2">
        <v>0.74444444444444446</v>
      </c>
      <c r="D206" s="3" t="s">
        <v>46</v>
      </c>
      <c r="E206" s="3" t="s">
        <v>47</v>
      </c>
      <c r="F206" s="2">
        <f t="shared" si="68"/>
        <v>4.8611111111110938E-3</v>
      </c>
      <c r="G206" s="4">
        <f t="shared" si="69"/>
        <v>1065</v>
      </c>
      <c r="H206" s="2">
        <f t="shared" si="70"/>
        <v>4.8611111111110938E-3</v>
      </c>
      <c r="I206" s="4">
        <f>HOUR(H206)*60+MINUTE(H206)</f>
        <v>7</v>
      </c>
      <c r="J206" s="4">
        <f t="shared" si="71"/>
        <v>3</v>
      </c>
      <c r="K206" s="75"/>
    </row>
    <row r="207" spans="1:26">
      <c r="A207" s="2">
        <v>0.74375000000000002</v>
      </c>
      <c r="B207" s="2">
        <v>0.74444444444444446</v>
      </c>
      <c r="C207" s="2">
        <v>0.75</v>
      </c>
      <c r="D207" s="3" t="s">
        <v>46</v>
      </c>
      <c r="E207" s="3" t="s">
        <v>47</v>
      </c>
      <c r="F207" s="2">
        <f t="shared" si="68"/>
        <v>5.5555555555555358E-3</v>
      </c>
      <c r="G207" s="4">
        <f t="shared" si="69"/>
        <v>1071</v>
      </c>
      <c r="H207" s="2">
        <f t="shared" si="70"/>
        <v>5.5555555555555358E-3</v>
      </c>
      <c r="I207" s="4">
        <f>HOUR(H207)*60+MINUTE(H207)</f>
        <v>8</v>
      </c>
      <c r="J207" s="4">
        <f t="shared" si="71"/>
        <v>6</v>
      </c>
      <c r="K207" s="75"/>
    </row>
    <row r="208" spans="1:26">
      <c r="A208" s="2">
        <v>0.74444444444444446</v>
      </c>
      <c r="B208" s="2">
        <v>0.75</v>
      </c>
      <c r="C208" s="2">
        <v>0.75208333333333333</v>
      </c>
      <c r="D208" s="3" t="s">
        <v>46</v>
      </c>
      <c r="E208" s="3" t="s">
        <v>47</v>
      </c>
      <c r="F208" s="2">
        <f t="shared" si="68"/>
        <v>2.0833333333333259E-3</v>
      </c>
      <c r="G208" s="4">
        <f t="shared" si="69"/>
        <v>1072</v>
      </c>
      <c r="H208" s="2">
        <f t="shared" si="70"/>
        <v>2.0833333333333259E-3</v>
      </c>
      <c r="I208" s="4">
        <f>HOUR(H208)*60+MINUTE(H208)</f>
        <v>3</v>
      </c>
      <c r="J208" s="4">
        <f t="shared" si="71"/>
        <v>1</v>
      </c>
      <c r="K208" s="75"/>
    </row>
    <row r="209" spans="1:11">
      <c r="A209" s="2">
        <v>0.74444444444444446</v>
      </c>
      <c r="B209" s="2">
        <v>0.75208333333333333</v>
      </c>
      <c r="C209" s="2">
        <v>0.75416666666666665</v>
      </c>
      <c r="D209" s="3" t="s">
        <v>46</v>
      </c>
      <c r="E209" s="3" t="s">
        <v>47</v>
      </c>
      <c r="F209" s="2">
        <f t="shared" si="68"/>
        <v>2.0833333333333259E-3</v>
      </c>
      <c r="G209" s="4">
        <f t="shared" si="69"/>
        <v>1072</v>
      </c>
      <c r="H209" s="2">
        <f t="shared" si="70"/>
        <v>2.0833333333333259E-3</v>
      </c>
      <c r="I209" s="4">
        <f>HOUR(H209)*60+MINUTE(H209)</f>
        <v>3</v>
      </c>
      <c r="J209" s="4">
        <f t="shared" si="71"/>
        <v>0</v>
      </c>
      <c r="K209" s="75"/>
    </row>
    <row r="210" spans="1:11">
      <c r="A210" s="2">
        <v>0.74861111111111112</v>
      </c>
      <c r="B210" s="2">
        <v>0.75416666666666665</v>
      </c>
      <c r="C210" s="2">
        <v>0.75694444444444442</v>
      </c>
      <c r="D210" s="3" t="s">
        <v>46</v>
      </c>
      <c r="E210" s="3" t="s">
        <v>47</v>
      </c>
      <c r="F210" s="2">
        <f t="shared" si="68"/>
        <v>2.7777777777777679E-3</v>
      </c>
      <c r="G210" s="4">
        <f t="shared" si="69"/>
        <v>1078</v>
      </c>
      <c r="H210" s="2">
        <f t="shared" si="70"/>
        <v>2.7777777777777679E-3</v>
      </c>
      <c r="I210" s="4">
        <f>HOUR(H210)*60+MINUTE(H210)</f>
        <v>4</v>
      </c>
      <c r="J210" s="4">
        <f t="shared" si="71"/>
        <v>6</v>
      </c>
      <c r="K210" s="75"/>
    </row>
    <row r="211" spans="1:11">
      <c r="A211" s="2">
        <v>0.75069444444444444</v>
      </c>
      <c r="B211" s="2">
        <v>0.75694444444444442</v>
      </c>
      <c r="C211" s="2">
        <v>0.76041666666666663</v>
      </c>
      <c r="D211" s="3" t="s">
        <v>46</v>
      </c>
      <c r="E211" s="3" t="s">
        <v>47</v>
      </c>
      <c r="F211" s="2">
        <f t="shared" si="68"/>
        <v>3.4722222222222099E-3</v>
      </c>
      <c r="G211" s="4">
        <f t="shared" si="69"/>
        <v>1081</v>
      </c>
      <c r="H211" s="2">
        <f t="shared" si="70"/>
        <v>3.4722222222222099E-3</v>
      </c>
      <c r="I211" s="4">
        <f>HOUR(H211)*60+MINUTE(H211)</f>
        <v>5</v>
      </c>
      <c r="J211" s="4">
        <f t="shared" si="71"/>
        <v>3</v>
      </c>
      <c r="K211" s="75"/>
    </row>
    <row r="212" spans="1:11">
      <c r="A212" s="2">
        <v>0.75902777777777775</v>
      </c>
      <c r="B212" s="2">
        <v>0.76041666666666663</v>
      </c>
      <c r="C212" s="2">
        <v>0.76597222222222228</v>
      </c>
      <c r="D212" s="3" t="s">
        <v>46</v>
      </c>
      <c r="E212" s="3" t="s">
        <v>47</v>
      </c>
      <c r="F212" s="2">
        <f t="shared" si="68"/>
        <v>5.5555555555556468E-3</v>
      </c>
      <c r="G212" s="4">
        <f t="shared" si="69"/>
        <v>1093</v>
      </c>
      <c r="H212" s="2">
        <f t="shared" si="70"/>
        <v>5.5555555555556468E-3</v>
      </c>
      <c r="I212" s="4">
        <f>HOUR(H212)*60+MINUTE(H212)</f>
        <v>8</v>
      </c>
      <c r="J212" s="4">
        <f t="shared" si="71"/>
        <v>12</v>
      </c>
      <c r="K212" s="75"/>
    </row>
    <row r="213" spans="1:11">
      <c r="A213" s="2">
        <v>0.76597222222222228</v>
      </c>
      <c r="B213" s="2">
        <v>0.76597222222222228</v>
      </c>
      <c r="C213" s="2">
        <v>0.76666666666666672</v>
      </c>
      <c r="D213" s="3" t="s">
        <v>46</v>
      </c>
      <c r="E213" s="3" t="s">
        <v>47</v>
      </c>
      <c r="F213" s="2">
        <f t="shared" si="68"/>
        <v>6.9444444444444198E-4</v>
      </c>
      <c r="G213" s="4">
        <f t="shared" si="69"/>
        <v>1103</v>
      </c>
      <c r="H213" s="2">
        <f t="shared" si="70"/>
        <v>6.9444444444444198E-4</v>
      </c>
      <c r="I213" s="4">
        <f>HOUR(H213)*60+MINUTE(H213)</f>
        <v>1</v>
      </c>
      <c r="J213" s="4">
        <f t="shared" si="71"/>
        <v>10</v>
      </c>
      <c r="K213" s="75"/>
    </row>
    <row r="214" spans="1:11">
      <c r="A214" s="2">
        <v>0.76597222222222228</v>
      </c>
      <c r="B214" s="2">
        <v>0.76666666666666672</v>
      </c>
      <c r="C214" s="2">
        <v>0.76875000000000004</v>
      </c>
      <c r="D214" s="3" t="s">
        <v>46</v>
      </c>
      <c r="E214" s="3" t="s">
        <v>47</v>
      </c>
      <c r="F214" s="2">
        <f t="shared" si="68"/>
        <v>2.0833333333333259E-3</v>
      </c>
      <c r="G214" s="4">
        <f t="shared" si="69"/>
        <v>1103</v>
      </c>
      <c r="H214" s="2">
        <f t="shared" si="70"/>
        <v>2.0833333333333259E-3</v>
      </c>
      <c r="I214" s="4">
        <f>HOUR(H214)*60+MINUTE(H214)</f>
        <v>3</v>
      </c>
      <c r="J214" s="4">
        <f t="shared" si="71"/>
        <v>0</v>
      </c>
      <c r="K214" s="75"/>
    </row>
    <row r="215" spans="1:11">
      <c r="A215" s="2">
        <v>0.77638888888888891</v>
      </c>
      <c r="B215" s="2">
        <v>0.77638888888888891</v>
      </c>
      <c r="C215" s="2">
        <v>0.77847222222222223</v>
      </c>
      <c r="D215" s="3" t="s">
        <v>46</v>
      </c>
      <c r="E215" s="3" t="s">
        <v>47</v>
      </c>
      <c r="F215" s="2">
        <f t="shared" si="68"/>
        <v>2.0833333333333259E-3</v>
      </c>
      <c r="G215" s="4">
        <f t="shared" si="69"/>
        <v>1118</v>
      </c>
      <c r="H215" s="2">
        <f t="shared" si="70"/>
        <v>2.0833333333333259E-3</v>
      </c>
      <c r="I215" s="4">
        <f>HOUR(H215)*60+MINUTE(H215)</f>
        <v>3</v>
      </c>
      <c r="J215" s="4">
        <f t="shared" si="71"/>
        <v>15</v>
      </c>
      <c r="K215" s="75"/>
    </row>
    <row r="216" spans="1:11">
      <c r="A216" s="2">
        <v>0.78125</v>
      </c>
      <c r="B216" s="2">
        <v>0.78125</v>
      </c>
      <c r="C216" s="2">
        <v>0.78263888888888888</v>
      </c>
      <c r="D216" s="3" t="s">
        <v>46</v>
      </c>
      <c r="E216" s="3" t="s">
        <v>47</v>
      </c>
      <c r="F216" s="2">
        <f t="shared" si="68"/>
        <v>1.388888888888884E-3</v>
      </c>
      <c r="G216" s="4">
        <f t="shared" si="69"/>
        <v>1125</v>
      </c>
      <c r="H216" s="2">
        <f t="shared" si="70"/>
        <v>1.388888888888884E-3</v>
      </c>
      <c r="I216" s="4">
        <f>HOUR(H216)*60+MINUTE(H216)</f>
        <v>2</v>
      </c>
      <c r="J216" s="4">
        <f t="shared" si="71"/>
        <v>7</v>
      </c>
      <c r="K216" s="75"/>
    </row>
    <row r="217" spans="1:11">
      <c r="A217" s="2">
        <v>0.78472222222222221</v>
      </c>
      <c r="B217" s="2">
        <v>0.78472222222222221</v>
      </c>
      <c r="C217" s="2">
        <v>0.78680555555555554</v>
      </c>
      <c r="D217" s="3" t="s">
        <v>46</v>
      </c>
      <c r="E217" s="3" t="s">
        <v>47</v>
      </c>
      <c r="F217" s="2">
        <f t="shared" si="68"/>
        <v>2.0833333333333259E-3</v>
      </c>
      <c r="G217" s="4">
        <f t="shared" si="69"/>
        <v>1130</v>
      </c>
      <c r="H217" s="2">
        <f t="shared" si="70"/>
        <v>2.0833333333333259E-3</v>
      </c>
      <c r="I217" s="4">
        <f>HOUR(H217)*60+MINUTE(H217)</f>
        <v>3</v>
      </c>
      <c r="J217" s="4">
        <f t="shared" si="71"/>
        <v>5</v>
      </c>
      <c r="K217" s="75"/>
    </row>
    <row r="218" spans="1:11">
      <c r="A218" s="2">
        <v>0.79097222222222219</v>
      </c>
      <c r="B218" s="2">
        <v>0.79097222222222219</v>
      </c>
      <c r="C218" s="2">
        <v>0.79097222222222219</v>
      </c>
      <c r="D218" s="3" t="s">
        <v>46</v>
      </c>
      <c r="E218" s="3" t="s">
        <v>47</v>
      </c>
      <c r="F218" s="2">
        <f t="shared" si="68"/>
        <v>0</v>
      </c>
      <c r="G218" s="4">
        <f t="shared" si="69"/>
        <v>1139</v>
      </c>
      <c r="H218" s="2">
        <f t="shared" si="70"/>
        <v>0</v>
      </c>
      <c r="I218" s="4">
        <f>HOUR(H218)*60+MINUTE(H218)</f>
        <v>0</v>
      </c>
      <c r="J218" s="4">
        <f t="shared" si="71"/>
        <v>9</v>
      </c>
      <c r="K218" s="75"/>
    </row>
    <row r="219" spans="1:11">
      <c r="A219" s="2">
        <v>0.79583333333333328</v>
      </c>
      <c r="B219" s="2">
        <v>0.79583333333333328</v>
      </c>
      <c r="C219" s="2">
        <v>0.79583333333333328</v>
      </c>
      <c r="D219" s="3" t="s">
        <v>46</v>
      </c>
      <c r="E219" s="3" t="s">
        <v>47</v>
      </c>
      <c r="F219" s="2">
        <f t="shared" si="68"/>
        <v>0</v>
      </c>
      <c r="G219" s="4">
        <f t="shared" si="69"/>
        <v>1146</v>
      </c>
      <c r="H219" s="2">
        <f t="shared" si="70"/>
        <v>0</v>
      </c>
      <c r="I219" s="4">
        <f>HOUR(H219)*60+MINUTE(H219)</f>
        <v>0</v>
      </c>
      <c r="J219" s="4">
        <f t="shared" si="71"/>
        <v>7</v>
      </c>
      <c r="K219" s="75"/>
    </row>
    <row r="220" spans="1:11">
      <c r="A220" s="2">
        <v>0.79652777777777772</v>
      </c>
      <c r="B220" s="2">
        <v>0.79652777777777772</v>
      </c>
      <c r="C220" s="2">
        <v>0.80138888888888893</v>
      </c>
      <c r="D220" s="3" t="s">
        <v>46</v>
      </c>
      <c r="E220" s="3" t="s">
        <v>47</v>
      </c>
      <c r="F220" s="2">
        <f t="shared" si="68"/>
        <v>4.8611111111112049E-3</v>
      </c>
      <c r="G220" s="4">
        <f t="shared" si="69"/>
        <v>1147</v>
      </c>
      <c r="H220" s="2">
        <f t="shared" si="70"/>
        <v>4.8611111111112049E-3</v>
      </c>
      <c r="I220" s="4">
        <f>HOUR(H220)*60+MINUTE(H220)</f>
        <v>7</v>
      </c>
      <c r="J220" s="4">
        <f t="shared" si="71"/>
        <v>1</v>
      </c>
      <c r="K220" s="75"/>
    </row>
    <row r="221" spans="1:11">
      <c r="A221" s="2">
        <v>0.80347222222222225</v>
      </c>
      <c r="B221" s="2">
        <v>0.80347222222222225</v>
      </c>
      <c r="C221" s="2">
        <v>0.80486111111111114</v>
      </c>
      <c r="D221" s="3" t="s">
        <v>46</v>
      </c>
      <c r="E221" s="3" t="s">
        <v>47</v>
      </c>
      <c r="F221" s="2">
        <f t="shared" si="68"/>
        <v>1.388888888888884E-3</v>
      </c>
      <c r="G221" s="4">
        <f t="shared" si="69"/>
        <v>1157</v>
      </c>
      <c r="H221" s="2">
        <f t="shared" si="70"/>
        <v>1.388888888888884E-3</v>
      </c>
      <c r="I221" s="4">
        <f>HOUR(H221)*60+MINUTE(H221)</f>
        <v>2</v>
      </c>
      <c r="J221" s="4">
        <f t="shared" si="71"/>
        <v>10</v>
      </c>
      <c r="K221" s="75"/>
    </row>
    <row r="222" spans="1:11">
      <c r="A222" s="2">
        <v>0.80625000000000002</v>
      </c>
      <c r="B222" s="2">
        <v>0.80625000000000002</v>
      </c>
      <c r="C222" s="2">
        <v>0.80625000000000002</v>
      </c>
      <c r="D222" s="3" t="s">
        <v>46</v>
      </c>
      <c r="E222" s="3" t="s">
        <v>47</v>
      </c>
      <c r="F222" s="2">
        <f t="shared" si="68"/>
        <v>0</v>
      </c>
      <c r="G222" s="4">
        <f t="shared" si="69"/>
        <v>1161</v>
      </c>
      <c r="H222" s="2">
        <f t="shared" si="70"/>
        <v>0</v>
      </c>
      <c r="I222" s="4">
        <f>HOUR(H222)*60+MINUTE(H222)</f>
        <v>0</v>
      </c>
      <c r="J222" s="4">
        <f t="shared" si="71"/>
        <v>4</v>
      </c>
      <c r="K222" s="75"/>
    </row>
    <row r="223" spans="1:11">
      <c r="A223" s="2">
        <v>0.81111111111111112</v>
      </c>
      <c r="B223" s="2">
        <v>0.81111111111111112</v>
      </c>
      <c r="C223" s="2">
        <v>0.81319444444444444</v>
      </c>
      <c r="D223" s="3" t="s">
        <v>46</v>
      </c>
      <c r="E223" s="3" t="s">
        <v>47</v>
      </c>
      <c r="F223" s="2">
        <f t="shared" si="68"/>
        <v>2.0833333333333259E-3</v>
      </c>
      <c r="G223" s="4">
        <f t="shared" si="69"/>
        <v>1168</v>
      </c>
      <c r="H223" s="2">
        <f t="shared" si="70"/>
        <v>2.0833333333333259E-3</v>
      </c>
      <c r="I223" s="4">
        <f>HOUR(H223)*60+MINUTE(H223)</f>
        <v>3</v>
      </c>
      <c r="J223" s="4">
        <f t="shared" si="71"/>
        <v>7</v>
      </c>
      <c r="K223" s="75"/>
    </row>
    <row r="224" spans="1:11">
      <c r="A224" s="2">
        <v>0.81805555555555554</v>
      </c>
      <c r="B224" s="2">
        <v>0.81805555555555554</v>
      </c>
      <c r="C224" s="2">
        <v>0.82222222222222219</v>
      </c>
      <c r="D224" s="3" t="s">
        <v>46</v>
      </c>
      <c r="E224" s="3" t="s">
        <v>47</v>
      </c>
      <c r="F224" s="2">
        <f t="shared" si="68"/>
        <v>4.1666666666666519E-3</v>
      </c>
      <c r="G224" s="4">
        <f t="shared" si="69"/>
        <v>1178</v>
      </c>
      <c r="H224" s="2">
        <f t="shared" si="70"/>
        <v>4.1666666666666519E-3</v>
      </c>
      <c r="I224" s="4">
        <f>HOUR(H224)*60+MINUTE(H224)</f>
        <v>6</v>
      </c>
      <c r="J224" s="4">
        <f t="shared" si="71"/>
        <v>10</v>
      </c>
      <c r="K224" s="75"/>
    </row>
    <row r="225" spans="1:11">
      <c r="A225" s="2">
        <v>0.8208333333333333</v>
      </c>
      <c r="B225" s="2">
        <v>0.82222222222222219</v>
      </c>
      <c r="C225" s="2">
        <v>0.82291666666666663</v>
      </c>
      <c r="D225" s="3" t="s">
        <v>46</v>
      </c>
      <c r="E225" s="3" t="s">
        <v>47</v>
      </c>
      <c r="F225" s="2">
        <f t="shared" si="68"/>
        <v>6.9444444444444198E-4</v>
      </c>
      <c r="G225" s="4">
        <f t="shared" si="69"/>
        <v>1182</v>
      </c>
      <c r="H225" s="2">
        <f t="shared" si="70"/>
        <v>6.9444444444444198E-4</v>
      </c>
      <c r="I225" s="4">
        <f>HOUR(H225)*60+MINUTE(H225)</f>
        <v>1</v>
      </c>
      <c r="J225" s="4">
        <f t="shared" si="71"/>
        <v>4</v>
      </c>
      <c r="K225" s="75"/>
    </row>
    <row r="226" spans="1:11">
      <c r="A226" s="2">
        <v>0.82222222222222219</v>
      </c>
      <c r="B226" s="2">
        <v>0.82291666666666663</v>
      </c>
      <c r="C226" s="2">
        <v>0.82291666666666663</v>
      </c>
      <c r="D226" s="3" t="s">
        <v>46</v>
      </c>
      <c r="E226" s="3" t="s">
        <v>47</v>
      </c>
      <c r="F226" s="2">
        <f t="shared" si="68"/>
        <v>0</v>
      </c>
      <c r="G226" s="4">
        <f t="shared" si="69"/>
        <v>1184</v>
      </c>
      <c r="H226" s="2">
        <f t="shared" si="70"/>
        <v>0</v>
      </c>
      <c r="I226" s="4">
        <f>HOUR(H226)*60+MINUTE(H226)</f>
        <v>0</v>
      </c>
      <c r="J226" s="4">
        <f t="shared" si="71"/>
        <v>2</v>
      </c>
      <c r="K226" s="75"/>
    </row>
    <row r="227" spans="1:11">
      <c r="A227" s="2">
        <v>0.82777777777777772</v>
      </c>
      <c r="B227" s="2">
        <v>0.82777777777777772</v>
      </c>
      <c r="C227" s="2">
        <v>0.82986111111111116</v>
      </c>
      <c r="D227" s="3" t="s">
        <v>46</v>
      </c>
      <c r="E227" s="3" t="s">
        <v>47</v>
      </c>
      <c r="F227" s="2">
        <f t="shared" si="68"/>
        <v>2.083333333333437E-3</v>
      </c>
      <c r="G227" s="4">
        <f t="shared" si="69"/>
        <v>1192</v>
      </c>
      <c r="H227" s="2">
        <f t="shared" si="70"/>
        <v>2.083333333333437E-3</v>
      </c>
      <c r="I227" s="4">
        <f>HOUR(H227)*60+MINUTE(H227)</f>
        <v>3</v>
      </c>
      <c r="J227" s="4">
        <f t="shared" si="71"/>
        <v>8</v>
      </c>
      <c r="K227" s="75"/>
    </row>
    <row r="228" spans="1:11">
      <c r="A228" s="2">
        <v>0.83402777777777781</v>
      </c>
      <c r="B228" s="2">
        <v>0.83402777777777781</v>
      </c>
      <c r="C228" s="2">
        <v>0.83611111111111114</v>
      </c>
      <c r="D228" s="3" t="s">
        <v>46</v>
      </c>
      <c r="E228" s="3" t="s">
        <v>47</v>
      </c>
      <c r="F228" s="2">
        <f t="shared" si="68"/>
        <v>2.0833333333333259E-3</v>
      </c>
      <c r="G228" s="4">
        <f t="shared" si="69"/>
        <v>1201</v>
      </c>
      <c r="H228" s="2">
        <f t="shared" si="70"/>
        <v>2.0833333333333259E-3</v>
      </c>
      <c r="I228" s="4">
        <f>HOUR(H228)*60+MINUTE(H228)</f>
        <v>3</v>
      </c>
      <c r="J228" s="4">
        <f t="shared" si="71"/>
        <v>9</v>
      </c>
      <c r="K228" s="75"/>
    </row>
    <row r="229" spans="1:11">
      <c r="A229" s="2">
        <v>0.83611111111111114</v>
      </c>
      <c r="B229" s="2">
        <v>0.83611111111111114</v>
      </c>
      <c r="C229" s="2">
        <v>0.83958333333333335</v>
      </c>
      <c r="D229" s="3" t="s">
        <v>46</v>
      </c>
      <c r="E229" s="3" t="s">
        <v>47</v>
      </c>
      <c r="F229" s="2">
        <f t="shared" si="68"/>
        <v>3.4722222222222099E-3</v>
      </c>
      <c r="G229" s="4">
        <f t="shared" si="69"/>
        <v>1204</v>
      </c>
      <c r="H229" s="2">
        <f t="shared" si="70"/>
        <v>3.4722222222222099E-3</v>
      </c>
      <c r="I229" s="4">
        <f>HOUR(H229)*60+MINUTE(H229)</f>
        <v>5</v>
      </c>
      <c r="J229" s="4">
        <f t="shared" si="71"/>
        <v>3</v>
      </c>
      <c r="K229" s="75"/>
    </row>
    <row r="230" spans="1:11">
      <c r="A230" s="2">
        <v>0.83888888888888891</v>
      </c>
      <c r="B230" s="2">
        <v>0.83958333333333335</v>
      </c>
      <c r="C230" s="2">
        <v>0.84166666666666667</v>
      </c>
      <c r="D230" s="3" t="s">
        <v>46</v>
      </c>
      <c r="E230" s="3" t="s">
        <v>47</v>
      </c>
      <c r="F230" s="2">
        <f t="shared" si="68"/>
        <v>2.0833333333333259E-3</v>
      </c>
      <c r="G230" s="4">
        <f t="shared" si="69"/>
        <v>1208</v>
      </c>
      <c r="H230" s="2">
        <f t="shared" si="70"/>
        <v>2.0833333333333259E-3</v>
      </c>
      <c r="I230" s="4">
        <f>HOUR(H230)*60+MINUTE(H230)</f>
        <v>3</v>
      </c>
      <c r="J230" s="4">
        <f t="shared" si="71"/>
        <v>4</v>
      </c>
      <c r="K230" s="75"/>
    </row>
    <row r="231" spans="1:11">
      <c r="A231" s="2">
        <v>0.83888888888888891</v>
      </c>
      <c r="B231" s="2">
        <v>0.84166666666666667</v>
      </c>
      <c r="C231" s="2">
        <v>0.84305555555555556</v>
      </c>
      <c r="D231" s="3" t="s">
        <v>46</v>
      </c>
      <c r="E231" s="3" t="s">
        <v>47</v>
      </c>
      <c r="F231" s="2">
        <f t="shared" si="68"/>
        <v>1.388888888888884E-3</v>
      </c>
      <c r="G231" s="4">
        <f t="shared" si="69"/>
        <v>1208</v>
      </c>
      <c r="H231" s="2">
        <f t="shared" si="70"/>
        <v>1.388888888888884E-3</v>
      </c>
      <c r="I231" s="4">
        <f>HOUR(H231)*60+MINUTE(H231)</f>
        <v>2</v>
      </c>
      <c r="J231" s="4">
        <f t="shared" si="71"/>
        <v>0</v>
      </c>
      <c r="K231" s="75"/>
    </row>
    <row r="232" spans="1:11">
      <c r="A232" s="2">
        <v>0.84027777777777779</v>
      </c>
      <c r="B232" s="2">
        <v>0.84305555555555556</v>
      </c>
      <c r="C232" s="2">
        <v>0.84722222222222221</v>
      </c>
      <c r="D232" s="3" t="s">
        <v>46</v>
      </c>
      <c r="E232" s="3" t="s">
        <v>47</v>
      </c>
      <c r="F232" s="2">
        <f t="shared" si="68"/>
        <v>4.1666666666666519E-3</v>
      </c>
      <c r="G232" s="4">
        <f t="shared" si="69"/>
        <v>1210</v>
      </c>
      <c r="H232" s="2">
        <f t="shared" si="70"/>
        <v>4.1666666666666519E-3</v>
      </c>
      <c r="I232" s="4">
        <f>HOUR(H232)*60+MINUTE(H232)</f>
        <v>6</v>
      </c>
      <c r="J232" s="4">
        <f t="shared" si="71"/>
        <v>2</v>
      </c>
      <c r="K232" s="75"/>
    </row>
    <row r="233" spans="1:11">
      <c r="A233" s="2">
        <v>0.84930555555555554</v>
      </c>
      <c r="B233" s="2">
        <v>0.84930555555555554</v>
      </c>
      <c r="C233" s="2">
        <v>0.85</v>
      </c>
      <c r="D233" s="3" t="s">
        <v>46</v>
      </c>
      <c r="E233" s="3" t="s">
        <v>47</v>
      </c>
      <c r="F233" s="2">
        <f t="shared" si="68"/>
        <v>6.9444444444444198E-4</v>
      </c>
      <c r="G233" s="4">
        <f t="shared" si="69"/>
        <v>1223</v>
      </c>
      <c r="H233" s="2">
        <f t="shared" si="70"/>
        <v>6.9444444444444198E-4</v>
      </c>
      <c r="I233" s="4">
        <f>HOUR(H233)*60+MINUTE(H233)</f>
        <v>1</v>
      </c>
      <c r="J233" s="4">
        <f t="shared" si="71"/>
        <v>13</v>
      </c>
      <c r="K233" s="75"/>
    </row>
    <row r="234" spans="1:11">
      <c r="A234" s="2">
        <v>0.85069444444444442</v>
      </c>
      <c r="B234" s="2">
        <v>0.85069444444444442</v>
      </c>
      <c r="C234" s="2">
        <v>0.8520833333333333</v>
      </c>
      <c r="D234" s="3" t="s">
        <v>46</v>
      </c>
      <c r="E234" s="3" t="s">
        <v>47</v>
      </c>
      <c r="F234" s="2">
        <f t="shared" si="68"/>
        <v>1.388888888888884E-3</v>
      </c>
      <c r="G234" s="4">
        <f t="shared" si="69"/>
        <v>1225</v>
      </c>
      <c r="H234" s="2">
        <f t="shared" si="70"/>
        <v>1.388888888888884E-3</v>
      </c>
      <c r="I234" s="4">
        <f>HOUR(H234)*60+MINUTE(H234)</f>
        <v>2</v>
      </c>
      <c r="J234" s="4">
        <f t="shared" si="71"/>
        <v>2</v>
      </c>
      <c r="K234" s="75"/>
    </row>
    <row r="235" spans="1:11">
      <c r="A235" s="2">
        <v>0.85277777777777775</v>
      </c>
      <c r="B235" s="2">
        <v>0.85277777777777775</v>
      </c>
      <c r="C235" s="2">
        <v>0.85277777777777775</v>
      </c>
      <c r="D235" s="3" t="s">
        <v>46</v>
      </c>
      <c r="E235" s="3" t="s">
        <v>47</v>
      </c>
      <c r="F235" s="2">
        <f t="shared" si="68"/>
        <v>0</v>
      </c>
      <c r="G235" s="4">
        <f t="shared" si="69"/>
        <v>1228</v>
      </c>
      <c r="H235" s="2">
        <f t="shared" si="70"/>
        <v>0</v>
      </c>
      <c r="I235" s="4">
        <f>HOUR(H235)*60+MINUTE(H235)</f>
        <v>0</v>
      </c>
      <c r="J235" s="4">
        <f t="shared" si="71"/>
        <v>3</v>
      </c>
      <c r="K235" s="75"/>
    </row>
    <row r="236" spans="1:11">
      <c r="A236" s="2">
        <v>0.85624999999999996</v>
      </c>
      <c r="B236" s="2">
        <v>0.85624999999999996</v>
      </c>
      <c r="C236" s="2">
        <v>0.8569444444444444</v>
      </c>
      <c r="D236" s="3" t="s">
        <v>46</v>
      </c>
      <c r="E236" s="3" t="s">
        <v>47</v>
      </c>
      <c r="F236" s="2">
        <f t="shared" si="68"/>
        <v>6.9444444444444198E-4</v>
      </c>
      <c r="G236" s="4">
        <f t="shared" si="69"/>
        <v>1233</v>
      </c>
      <c r="H236" s="2">
        <f t="shared" si="70"/>
        <v>6.9444444444444198E-4</v>
      </c>
      <c r="I236" s="4">
        <f>HOUR(H236)*60+MINUTE(H236)</f>
        <v>1</v>
      </c>
      <c r="J236" s="4">
        <f t="shared" si="71"/>
        <v>5</v>
      </c>
      <c r="K236" s="75"/>
    </row>
    <row r="237" spans="1:11">
      <c r="A237" s="2">
        <v>0.85763888888888884</v>
      </c>
      <c r="B237" s="2">
        <v>0.85763888888888884</v>
      </c>
      <c r="C237" s="2">
        <v>0.86736111111111114</v>
      </c>
      <c r="D237" s="3" t="s">
        <v>46</v>
      </c>
      <c r="E237" s="3" t="s">
        <v>47</v>
      </c>
      <c r="F237" s="2">
        <f t="shared" si="68"/>
        <v>9.7222222222222987E-3</v>
      </c>
      <c r="G237" s="4">
        <f t="shared" si="69"/>
        <v>1235</v>
      </c>
      <c r="H237" s="2">
        <f t="shared" si="70"/>
        <v>9.7222222222222987E-3</v>
      </c>
      <c r="I237" s="4">
        <f>HOUR(H237)*60+MINUTE(H237)</f>
        <v>14</v>
      </c>
      <c r="J237" s="4">
        <f t="shared" si="71"/>
        <v>2</v>
      </c>
      <c r="K237" s="75"/>
    </row>
    <row r="238" spans="1:11">
      <c r="A238" s="2">
        <v>0.86875000000000002</v>
      </c>
      <c r="B238" s="2">
        <v>0.86875000000000002</v>
      </c>
      <c r="C238" s="2">
        <v>0.87430555555555556</v>
      </c>
      <c r="D238" s="3" t="s">
        <v>46</v>
      </c>
      <c r="E238" s="3" t="s">
        <v>47</v>
      </c>
      <c r="F238" s="2">
        <f t="shared" si="68"/>
        <v>5.5555555555555358E-3</v>
      </c>
      <c r="G238" s="4">
        <f t="shared" si="69"/>
        <v>1251</v>
      </c>
      <c r="H238" s="2">
        <f t="shared" si="70"/>
        <v>5.5555555555555358E-3</v>
      </c>
      <c r="I238" s="4">
        <f>HOUR(H238)*60+MINUTE(H238)</f>
        <v>8</v>
      </c>
      <c r="J238" s="4">
        <f t="shared" si="71"/>
        <v>16</v>
      </c>
      <c r="K238" s="75"/>
    </row>
    <row r="239" spans="1:11">
      <c r="A239" s="2">
        <v>0.87916666666666665</v>
      </c>
      <c r="B239" s="2">
        <v>0.87916666666666665</v>
      </c>
      <c r="C239" s="2">
        <v>0.88263888888888886</v>
      </c>
      <c r="D239" s="3" t="s">
        <v>46</v>
      </c>
      <c r="E239" s="3" t="s">
        <v>47</v>
      </c>
      <c r="F239" s="2">
        <f t="shared" si="68"/>
        <v>3.4722222222222099E-3</v>
      </c>
      <c r="G239" s="4">
        <f t="shared" si="69"/>
        <v>1266</v>
      </c>
      <c r="H239" s="2">
        <f t="shared" si="70"/>
        <v>3.4722222222222099E-3</v>
      </c>
      <c r="I239" s="4">
        <f>HOUR(H239)*60+MINUTE(H239)</f>
        <v>5</v>
      </c>
      <c r="J239" s="4">
        <f t="shared" si="71"/>
        <v>15</v>
      </c>
      <c r="K239" s="75"/>
    </row>
    <row r="240" spans="1:11">
      <c r="A240" s="2">
        <v>0.8833333333333333</v>
      </c>
      <c r="B240" s="2">
        <v>0.8833333333333333</v>
      </c>
      <c r="C240" s="2">
        <v>0.88402777777777775</v>
      </c>
      <c r="D240" s="3" t="s">
        <v>46</v>
      </c>
      <c r="E240" s="3" t="s">
        <v>47</v>
      </c>
      <c r="F240" s="2">
        <f t="shared" si="68"/>
        <v>6.9444444444444198E-4</v>
      </c>
      <c r="G240" s="4">
        <f t="shared" si="69"/>
        <v>1272</v>
      </c>
      <c r="H240" s="2">
        <f t="shared" si="70"/>
        <v>6.9444444444444198E-4</v>
      </c>
      <c r="I240" s="4">
        <f>HOUR(H240)*60+MINUTE(H240)</f>
        <v>1</v>
      </c>
      <c r="J240" s="4">
        <f t="shared" si="71"/>
        <v>6</v>
      </c>
      <c r="K240" s="75"/>
    </row>
    <row r="241" spans="1:11">
      <c r="A241" s="2">
        <v>0.88472222222222219</v>
      </c>
      <c r="B241" s="2">
        <v>0.88472222222222219</v>
      </c>
      <c r="C241" s="2">
        <v>0.88541666666666663</v>
      </c>
      <c r="D241" s="3" t="s">
        <v>46</v>
      </c>
      <c r="E241" s="3" t="s">
        <v>47</v>
      </c>
      <c r="F241" s="2">
        <f t="shared" si="68"/>
        <v>6.9444444444444198E-4</v>
      </c>
      <c r="G241" s="4">
        <f t="shared" si="69"/>
        <v>1274</v>
      </c>
      <c r="H241" s="2">
        <f t="shared" si="70"/>
        <v>6.9444444444444198E-4</v>
      </c>
      <c r="I241" s="4">
        <f>HOUR(H241)*60+MINUTE(H241)</f>
        <v>1</v>
      </c>
      <c r="J241" s="4">
        <f t="shared" si="71"/>
        <v>2</v>
      </c>
      <c r="K241" s="75"/>
    </row>
    <row r="242" spans="1:11">
      <c r="A242" s="2">
        <v>0.88749999999999996</v>
      </c>
      <c r="B242" s="2">
        <v>0.88749999999999996</v>
      </c>
      <c r="C242" s="2">
        <v>0.89097222222222228</v>
      </c>
      <c r="D242" s="3" t="s">
        <v>46</v>
      </c>
      <c r="E242" s="3" t="s">
        <v>47</v>
      </c>
      <c r="F242" s="2">
        <f t="shared" ref="F242:F262" si="72">C242-B242</f>
        <v>3.4722222222223209E-3</v>
      </c>
      <c r="G242" s="4">
        <f t="shared" ref="G242:G262" si="73">HOUR(A242)*60+MINUTE(A242)</f>
        <v>1278</v>
      </c>
      <c r="H242" s="2">
        <f t="shared" ref="H242:H262" si="74">C242-B242</f>
        <v>3.4722222222223209E-3</v>
      </c>
      <c r="I242" s="4">
        <f>HOUR(H242)*60+MINUTE(H242)</f>
        <v>5</v>
      </c>
      <c r="J242" s="4">
        <f t="shared" si="71"/>
        <v>4</v>
      </c>
      <c r="K242" s="75"/>
    </row>
    <row r="243" spans="1:11">
      <c r="A243" s="2">
        <v>0.89027777777777772</v>
      </c>
      <c r="B243" s="2">
        <v>0.89097222222222228</v>
      </c>
      <c r="C243" s="2">
        <v>0.89236111111111116</v>
      </c>
      <c r="D243" s="3" t="s">
        <v>46</v>
      </c>
      <c r="E243" s="3" t="s">
        <v>47</v>
      </c>
      <c r="F243" s="2">
        <f t="shared" si="72"/>
        <v>1.388888888888884E-3</v>
      </c>
      <c r="G243" s="4">
        <f t="shared" si="73"/>
        <v>1282</v>
      </c>
      <c r="H243" s="2">
        <f t="shared" si="74"/>
        <v>1.388888888888884E-3</v>
      </c>
      <c r="I243" s="4">
        <f>HOUR(H243)*60+MINUTE(H243)</f>
        <v>2</v>
      </c>
      <c r="J243" s="4">
        <f t="shared" si="71"/>
        <v>4</v>
      </c>
      <c r="K243" s="75"/>
    </row>
    <row r="244" spans="1:11">
      <c r="A244" s="2">
        <v>0.89097222222222228</v>
      </c>
      <c r="B244" s="2">
        <v>0.89236111111111116</v>
      </c>
      <c r="C244" s="2">
        <v>0.90069444444444446</v>
      </c>
      <c r="D244" s="3" t="s">
        <v>46</v>
      </c>
      <c r="E244" s="3" t="s">
        <v>47</v>
      </c>
      <c r="F244" s="2">
        <f t="shared" si="72"/>
        <v>8.3333333333333037E-3</v>
      </c>
      <c r="G244" s="4">
        <f t="shared" si="73"/>
        <v>1283</v>
      </c>
      <c r="H244" s="2">
        <f t="shared" si="74"/>
        <v>8.3333333333333037E-3</v>
      </c>
      <c r="I244" s="4">
        <f>HOUR(H244)*60+MINUTE(H244)</f>
        <v>12</v>
      </c>
      <c r="J244" s="4">
        <f t="shared" si="71"/>
        <v>1</v>
      </c>
      <c r="K244" s="75"/>
    </row>
    <row r="245" spans="1:11">
      <c r="A245" s="2">
        <v>0.89930555555555558</v>
      </c>
      <c r="B245" s="2">
        <v>0.90069444444444446</v>
      </c>
      <c r="C245" s="2">
        <v>0.90277777777777779</v>
      </c>
      <c r="D245" s="3" t="s">
        <v>46</v>
      </c>
      <c r="E245" s="3" t="s">
        <v>47</v>
      </c>
      <c r="F245" s="2">
        <f t="shared" si="72"/>
        <v>2.0833333333333259E-3</v>
      </c>
      <c r="G245" s="4">
        <f t="shared" si="73"/>
        <v>1295</v>
      </c>
      <c r="H245" s="2">
        <f t="shared" si="74"/>
        <v>2.0833333333333259E-3</v>
      </c>
      <c r="I245" s="4">
        <f>HOUR(H245)*60+MINUTE(H245)</f>
        <v>3</v>
      </c>
      <c r="J245" s="4">
        <f t="shared" ref="J245:J262" si="75">G245-G244</f>
        <v>12</v>
      </c>
      <c r="K245" s="75"/>
    </row>
    <row r="246" spans="1:11">
      <c r="A246" s="2">
        <v>0.90208333333333335</v>
      </c>
      <c r="B246" s="2">
        <v>0.90277777777777779</v>
      </c>
      <c r="C246" s="2">
        <v>0.90416666666666667</v>
      </c>
      <c r="D246" s="3" t="s">
        <v>46</v>
      </c>
      <c r="E246" s="3" t="s">
        <v>47</v>
      </c>
      <c r="F246" s="2">
        <f t="shared" si="72"/>
        <v>1.388888888888884E-3</v>
      </c>
      <c r="G246" s="4">
        <f t="shared" si="73"/>
        <v>1299</v>
      </c>
      <c r="H246" s="2">
        <f t="shared" si="74"/>
        <v>1.388888888888884E-3</v>
      </c>
      <c r="I246" s="4">
        <f>HOUR(H246)*60+MINUTE(H246)</f>
        <v>2</v>
      </c>
      <c r="J246" s="4">
        <f t="shared" si="75"/>
        <v>4</v>
      </c>
      <c r="K246" s="75"/>
    </row>
    <row r="247" spans="1:11">
      <c r="A247" s="2">
        <v>0.91527777777777775</v>
      </c>
      <c r="B247" s="2">
        <v>0.91527777777777775</v>
      </c>
      <c r="C247" s="2">
        <v>0.91597222222222219</v>
      </c>
      <c r="D247" s="3" t="s">
        <v>46</v>
      </c>
      <c r="E247" s="3" t="s">
        <v>47</v>
      </c>
      <c r="F247" s="2">
        <f t="shared" si="72"/>
        <v>6.9444444444444198E-4</v>
      </c>
      <c r="G247" s="4">
        <f t="shared" si="73"/>
        <v>1318</v>
      </c>
      <c r="H247" s="2">
        <f t="shared" si="74"/>
        <v>6.9444444444444198E-4</v>
      </c>
      <c r="I247" s="4">
        <f>HOUR(H247)*60+MINUTE(H247)</f>
        <v>1</v>
      </c>
      <c r="J247" s="4">
        <f t="shared" si="75"/>
        <v>19</v>
      </c>
      <c r="K247" s="75"/>
    </row>
    <row r="248" spans="1:11">
      <c r="A248" s="2">
        <v>0.91597222222222219</v>
      </c>
      <c r="B248" s="2">
        <v>0.91597222222222219</v>
      </c>
      <c r="C248" s="2">
        <v>0.91736111111111107</v>
      </c>
      <c r="D248" s="3" t="s">
        <v>46</v>
      </c>
      <c r="E248" s="3" t="s">
        <v>47</v>
      </c>
      <c r="F248" s="2">
        <f t="shared" si="72"/>
        <v>1.388888888888884E-3</v>
      </c>
      <c r="G248" s="4">
        <f t="shared" si="73"/>
        <v>1319</v>
      </c>
      <c r="H248" s="2">
        <f t="shared" si="74"/>
        <v>1.388888888888884E-3</v>
      </c>
      <c r="I248" s="4">
        <f>HOUR(H248)*60+MINUTE(H248)</f>
        <v>2</v>
      </c>
      <c r="J248" s="4">
        <f t="shared" si="75"/>
        <v>1</v>
      </c>
      <c r="K248" s="75"/>
    </row>
    <row r="249" spans="1:11">
      <c r="A249" s="2">
        <v>0.9194444444444444</v>
      </c>
      <c r="B249" s="2">
        <v>0.9194444444444444</v>
      </c>
      <c r="C249" s="2">
        <v>0.92361111111111116</v>
      </c>
      <c r="D249" s="3" t="s">
        <v>46</v>
      </c>
      <c r="E249" s="3" t="s">
        <v>47</v>
      </c>
      <c r="F249" s="2">
        <f t="shared" si="72"/>
        <v>4.1666666666667629E-3</v>
      </c>
      <c r="G249" s="4">
        <f t="shared" si="73"/>
        <v>1324</v>
      </c>
      <c r="H249" s="2">
        <f t="shared" si="74"/>
        <v>4.1666666666667629E-3</v>
      </c>
      <c r="I249" s="4">
        <f>HOUR(H249)*60+MINUTE(H249)</f>
        <v>6</v>
      </c>
      <c r="J249" s="4">
        <f t="shared" si="75"/>
        <v>5</v>
      </c>
      <c r="K249" s="75"/>
    </row>
    <row r="250" spans="1:11">
      <c r="A250" s="2">
        <v>0.9243055555555556</v>
      </c>
      <c r="B250" s="2">
        <v>0.9243055555555556</v>
      </c>
      <c r="C250" s="2">
        <v>0.9243055555555556</v>
      </c>
      <c r="D250" s="3" t="s">
        <v>46</v>
      </c>
      <c r="E250" s="3" t="s">
        <v>47</v>
      </c>
      <c r="F250" s="2">
        <f t="shared" si="72"/>
        <v>0</v>
      </c>
      <c r="G250" s="4">
        <f t="shared" si="73"/>
        <v>1331</v>
      </c>
      <c r="H250" s="2">
        <f t="shared" si="74"/>
        <v>0</v>
      </c>
      <c r="I250" s="4">
        <f>HOUR(H250)*60+MINUTE(H250)</f>
        <v>0</v>
      </c>
      <c r="J250" s="4">
        <f t="shared" si="75"/>
        <v>7</v>
      </c>
      <c r="K250" s="75"/>
    </row>
    <row r="251" spans="1:11">
      <c r="A251" s="2">
        <v>0.92500000000000004</v>
      </c>
      <c r="B251" s="2">
        <v>0.92500000000000004</v>
      </c>
      <c r="C251" s="2">
        <v>0.92500000000000004</v>
      </c>
      <c r="D251" s="3" t="s">
        <v>46</v>
      </c>
      <c r="E251" s="3" t="s">
        <v>47</v>
      </c>
      <c r="F251" s="2">
        <f t="shared" si="72"/>
        <v>0</v>
      </c>
      <c r="G251" s="4">
        <f t="shared" si="73"/>
        <v>1332</v>
      </c>
      <c r="H251" s="2">
        <f t="shared" si="74"/>
        <v>0</v>
      </c>
      <c r="I251" s="4">
        <f>HOUR(H251)*60+MINUTE(H251)</f>
        <v>0</v>
      </c>
      <c r="J251" s="4">
        <f t="shared" si="75"/>
        <v>1</v>
      </c>
      <c r="K251" s="75"/>
    </row>
    <row r="252" spans="1:11">
      <c r="A252" s="2">
        <v>0.9291666666666667</v>
      </c>
      <c r="B252" s="2">
        <v>0.9291666666666667</v>
      </c>
      <c r="C252" s="2">
        <v>0.9291666666666667</v>
      </c>
      <c r="D252" s="3" t="s">
        <v>46</v>
      </c>
      <c r="E252" s="3" t="s">
        <v>47</v>
      </c>
      <c r="F252" s="2">
        <f t="shared" si="72"/>
        <v>0</v>
      </c>
      <c r="G252" s="4">
        <f t="shared" si="73"/>
        <v>1338</v>
      </c>
      <c r="H252" s="2">
        <f t="shared" si="74"/>
        <v>0</v>
      </c>
      <c r="I252" s="4">
        <f>HOUR(H252)*60+MINUTE(H252)</f>
        <v>0</v>
      </c>
      <c r="J252" s="4">
        <f t="shared" si="75"/>
        <v>6</v>
      </c>
      <c r="K252" s="75"/>
    </row>
    <row r="253" spans="1:11">
      <c r="A253" s="2">
        <v>0.93055555555555558</v>
      </c>
      <c r="B253" s="2">
        <v>0.93055555555555558</v>
      </c>
      <c r="C253" s="2">
        <v>0.93055555555555558</v>
      </c>
      <c r="D253" s="3" t="s">
        <v>46</v>
      </c>
      <c r="E253" s="3" t="s">
        <v>47</v>
      </c>
      <c r="F253" s="2">
        <f t="shared" si="72"/>
        <v>0</v>
      </c>
      <c r="G253" s="4">
        <f t="shared" si="73"/>
        <v>1340</v>
      </c>
      <c r="H253" s="2">
        <f t="shared" si="74"/>
        <v>0</v>
      </c>
      <c r="I253" s="4">
        <f>HOUR(H253)*60+MINUTE(H253)</f>
        <v>0</v>
      </c>
      <c r="J253" s="4">
        <f t="shared" si="75"/>
        <v>2</v>
      </c>
      <c r="K253" s="75"/>
    </row>
    <row r="254" spans="1:11">
      <c r="A254" s="2">
        <v>0.93333333333333335</v>
      </c>
      <c r="B254" s="2">
        <v>0.93333333333333335</v>
      </c>
      <c r="C254" s="2">
        <v>0.93888888888888888</v>
      </c>
      <c r="D254" s="3" t="s">
        <v>46</v>
      </c>
      <c r="E254" s="3" t="s">
        <v>47</v>
      </c>
      <c r="F254" s="2">
        <f t="shared" si="72"/>
        <v>5.5555555555555358E-3</v>
      </c>
      <c r="G254" s="4">
        <f t="shared" si="73"/>
        <v>1344</v>
      </c>
      <c r="H254" s="2">
        <f t="shared" si="74"/>
        <v>5.5555555555555358E-3</v>
      </c>
      <c r="I254" s="4">
        <f>HOUR(H254)*60+MINUTE(H254)</f>
        <v>8</v>
      </c>
      <c r="J254" s="4">
        <f t="shared" si="75"/>
        <v>4</v>
      </c>
      <c r="K254" s="75"/>
    </row>
    <row r="255" spans="1:11">
      <c r="A255" s="2">
        <v>0.93888888888888888</v>
      </c>
      <c r="B255" s="2">
        <v>0.93888888888888888</v>
      </c>
      <c r="C255" s="2">
        <v>0.94097222222222221</v>
      </c>
      <c r="D255" s="3" t="s">
        <v>46</v>
      </c>
      <c r="E255" s="3" t="s">
        <v>47</v>
      </c>
      <c r="F255" s="2">
        <f t="shared" si="72"/>
        <v>2.0833333333333259E-3</v>
      </c>
      <c r="G255" s="4">
        <f t="shared" si="73"/>
        <v>1352</v>
      </c>
      <c r="H255" s="2">
        <f t="shared" si="74"/>
        <v>2.0833333333333259E-3</v>
      </c>
      <c r="I255" s="4">
        <f>HOUR(H255)*60+MINUTE(H255)</f>
        <v>3</v>
      </c>
      <c r="J255" s="4">
        <f t="shared" si="75"/>
        <v>8</v>
      </c>
      <c r="K255" s="75"/>
    </row>
    <row r="256" spans="1:11">
      <c r="A256" s="2">
        <v>0.94513888888888886</v>
      </c>
      <c r="B256" s="2">
        <v>0.94513888888888886</v>
      </c>
      <c r="C256" s="2">
        <v>0.94652777777777775</v>
      </c>
      <c r="D256" s="3" t="s">
        <v>46</v>
      </c>
      <c r="E256" s="3" t="s">
        <v>47</v>
      </c>
      <c r="F256" s="2">
        <f t="shared" si="72"/>
        <v>1.388888888888884E-3</v>
      </c>
      <c r="G256" s="4">
        <f t="shared" si="73"/>
        <v>1361</v>
      </c>
      <c r="H256" s="2">
        <f t="shared" si="74"/>
        <v>1.388888888888884E-3</v>
      </c>
      <c r="I256" s="4">
        <f>HOUR(H256)*60+MINUTE(H256)</f>
        <v>2</v>
      </c>
      <c r="J256" s="4">
        <f t="shared" si="75"/>
        <v>9</v>
      </c>
      <c r="K256" s="75"/>
    </row>
    <row r="257" spans="1:11">
      <c r="A257" s="2">
        <v>0.94652777777777775</v>
      </c>
      <c r="B257" s="2">
        <v>0.94652777777777775</v>
      </c>
      <c r="C257" s="2">
        <v>0.94722222222222219</v>
      </c>
      <c r="D257" s="3" t="s">
        <v>46</v>
      </c>
      <c r="E257" s="3" t="s">
        <v>47</v>
      </c>
      <c r="F257" s="2">
        <f t="shared" si="72"/>
        <v>6.9444444444444198E-4</v>
      </c>
      <c r="G257" s="4">
        <f t="shared" si="73"/>
        <v>1363</v>
      </c>
      <c r="H257" s="2">
        <f t="shared" si="74"/>
        <v>6.9444444444444198E-4</v>
      </c>
      <c r="I257" s="4">
        <f>HOUR(H257)*60+MINUTE(H257)</f>
        <v>1</v>
      </c>
      <c r="J257" s="4">
        <f t="shared" si="75"/>
        <v>2</v>
      </c>
      <c r="K257" s="75"/>
    </row>
    <row r="258" spans="1:11">
      <c r="A258" s="2">
        <v>0.94722222222222219</v>
      </c>
      <c r="B258" s="2">
        <v>0.94722222222222219</v>
      </c>
      <c r="C258" s="2">
        <v>0.94861111111111107</v>
      </c>
      <c r="D258" s="3" t="s">
        <v>46</v>
      </c>
      <c r="E258" s="3" t="s">
        <v>47</v>
      </c>
      <c r="F258" s="2">
        <f t="shared" si="72"/>
        <v>1.388888888888884E-3</v>
      </c>
      <c r="G258" s="4">
        <f t="shared" si="73"/>
        <v>1364</v>
      </c>
      <c r="H258" s="2">
        <f t="shared" si="74"/>
        <v>1.388888888888884E-3</v>
      </c>
      <c r="I258" s="4">
        <f>HOUR(H258)*60+MINUTE(H258)</f>
        <v>2</v>
      </c>
      <c r="J258" s="4">
        <f t="shared" si="75"/>
        <v>1</v>
      </c>
      <c r="K258" s="75"/>
    </row>
    <row r="259" spans="1:11">
      <c r="A259" s="2">
        <v>0.95</v>
      </c>
      <c r="B259" s="2">
        <v>0.95</v>
      </c>
      <c r="C259" s="2">
        <v>0.95138888888888884</v>
      </c>
      <c r="D259" s="3" t="s">
        <v>46</v>
      </c>
      <c r="E259" s="3" t="s">
        <v>47</v>
      </c>
      <c r="F259" s="2">
        <f t="shared" si="72"/>
        <v>1.388888888888884E-3</v>
      </c>
      <c r="G259" s="4">
        <f t="shared" si="73"/>
        <v>1368</v>
      </c>
      <c r="H259" s="2">
        <f t="shared" si="74"/>
        <v>1.388888888888884E-3</v>
      </c>
      <c r="I259" s="4">
        <f>HOUR(H259)*60+MINUTE(H259)</f>
        <v>2</v>
      </c>
      <c r="J259" s="4">
        <f t="shared" si="75"/>
        <v>4</v>
      </c>
      <c r="K259" s="75"/>
    </row>
    <row r="260" spans="1:11">
      <c r="A260" s="2">
        <v>0.95347222222222228</v>
      </c>
      <c r="B260" s="2">
        <v>0.95347222222222228</v>
      </c>
      <c r="C260" s="2">
        <v>0.95625000000000004</v>
      </c>
      <c r="D260" s="3" t="s">
        <v>46</v>
      </c>
      <c r="E260" s="3" t="s">
        <v>47</v>
      </c>
      <c r="F260" s="2">
        <f t="shared" si="72"/>
        <v>2.7777777777777679E-3</v>
      </c>
      <c r="G260" s="4">
        <f t="shared" si="73"/>
        <v>1373</v>
      </c>
      <c r="H260" s="2">
        <f t="shared" si="74"/>
        <v>2.7777777777777679E-3</v>
      </c>
      <c r="I260" s="4">
        <f>HOUR(H260)*60+MINUTE(H260)</f>
        <v>4</v>
      </c>
      <c r="J260" s="4">
        <f t="shared" si="75"/>
        <v>5</v>
      </c>
      <c r="K260" s="75"/>
    </row>
    <row r="261" spans="1:11">
      <c r="A261" s="2">
        <v>0.9555555555555556</v>
      </c>
      <c r="B261" s="2">
        <v>0.95625000000000004</v>
      </c>
      <c r="C261" s="2">
        <v>0.95625000000000004</v>
      </c>
      <c r="D261" s="3" t="s">
        <v>46</v>
      </c>
      <c r="E261" s="3" t="s">
        <v>47</v>
      </c>
      <c r="F261" s="2">
        <f t="shared" si="72"/>
        <v>0</v>
      </c>
      <c r="G261" s="4">
        <f t="shared" si="73"/>
        <v>1376</v>
      </c>
      <c r="H261" s="2">
        <f t="shared" si="74"/>
        <v>0</v>
      </c>
      <c r="I261" s="4">
        <f>HOUR(H261)*60+MINUTE(H261)</f>
        <v>0</v>
      </c>
      <c r="J261" s="4">
        <f t="shared" si="75"/>
        <v>3</v>
      </c>
      <c r="K261" s="75"/>
    </row>
    <row r="262" spans="1:11">
      <c r="A262" s="2">
        <v>0.95625000000000004</v>
      </c>
      <c r="B262" s="2">
        <v>0.95625000000000004</v>
      </c>
      <c r="C262" s="2">
        <v>0.95763888888888893</v>
      </c>
      <c r="D262" s="3" t="s">
        <v>46</v>
      </c>
      <c r="E262" s="3" t="s">
        <v>47</v>
      </c>
      <c r="F262" s="2">
        <f t="shared" si="72"/>
        <v>1.388888888888884E-3</v>
      </c>
      <c r="G262" s="4">
        <f t="shared" si="73"/>
        <v>1377</v>
      </c>
      <c r="H262" s="2">
        <f t="shared" si="74"/>
        <v>1.388888888888884E-3</v>
      </c>
      <c r="I262" s="4">
        <f>HOUR(H262)*60+MINUTE(H262)</f>
        <v>2</v>
      </c>
      <c r="J262" s="4">
        <f t="shared" si="75"/>
        <v>1</v>
      </c>
      <c r="K262" s="75"/>
    </row>
    <row r="263" spans="1:11">
      <c r="F263" t="s">
        <v>91</v>
      </c>
      <c r="G263">
        <f>1/I263</f>
        <v>0.2608695652173913</v>
      </c>
      <c r="H263" t="s">
        <v>92</v>
      </c>
      <c r="I263" s="1">
        <f>AVERAGE(I179:I262)</f>
        <v>3.8333333333333335</v>
      </c>
      <c r="K263" s="75"/>
    </row>
    <row r="264" spans="1:11">
      <c r="H264" t="s">
        <v>93</v>
      </c>
      <c r="I264" s="1" t="s">
        <v>94</v>
      </c>
      <c r="J264" s="1">
        <f>AVERAGE(J180:J262)</f>
        <v>6.4578313253012052</v>
      </c>
      <c r="K264" s="75"/>
    </row>
    <row r="265" spans="1:11">
      <c r="I265" s="1" t="s">
        <v>38</v>
      </c>
      <c r="J265">
        <f>1/J264</f>
        <v>0.15485074626865672</v>
      </c>
      <c r="K265" s="75"/>
    </row>
    <row r="266" spans="1:11">
      <c r="K266" s="75"/>
    </row>
    <row r="267" spans="1:11">
      <c r="A267" s="5">
        <v>0.5854166666666667</v>
      </c>
      <c r="B267" s="5">
        <v>0.5854166666666667</v>
      </c>
      <c r="C267" s="5">
        <v>0.58750000000000002</v>
      </c>
      <c r="D267" s="6" t="s">
        <v>48</v>
      </c>
      <c r="E267" s="6" t="s">
        <v>47</v>
      </c>
      <c r="F267" s="5">
        <f>C267-B267</f>
        <v>2.0833333333333259E-3</v>
      </c>
      <c r="G267" s="7">
        <f>HOUR(A267)*60+MINUTE(A267)</f>
        <v>843</v>
      </c>
      <c r="H267" s="5">
        <f>C267-B267</f>
        <v>2.0833333333333259E-3</v>
      </c>
      <c r="I267" s="7">
        <f>HOUR(H267)*60+MINUTE(H267)</f>
        <v>3</v>
      </c>
      <c r="J267" s="7"/>
      <c r="K267" s="75"/>
    </row>
    <row r="268" spans="1:11">
      <c r="A268" s="5">
        <v>0.59027777777777779</v>
      </c>
      <c r="B268" s="5">
        <v>0.59027777777777779</v>
      </c>
      <c r="C268" s="5">
        <v>0.59166666666666667</v>
      </c>
      <c r="D268" s="6" t="s">
        <v>48</v>
      </c>
      <c r="E268" s="6" t="s">
        <v>47</v>
      </c>
      <c r="F268" s="5">
        <f>C268-B268</f>
        <v>1.388888888888884E-3</v>
      </c>
      <c r="G268" s="7">
        <f>HOUR(A268)*60+MINUTE(A268)</f>
        <v>850</v>
      </c>
      <c r="H268" s="5">
        <f>C268-B268</f>
        <v>1.388888888888884E-3</v>
      </c>
      <c r="I268" s="7">
        <f>HOUR(H268)*60+MINUTE(H268)</f>
        <v>2</v>
      </c>
      <c r="J268" s="10">
        <f>G268-G267</f>
        <v>7</v>
      </c>
      <c r="K268" s="75"/>
    </row>
    <row r="269" spans="1:11">
      <c r="A269" s="5">
        <v>0.61458333333333337</v>
      </c>
      <c r="B269" s="5">
        <v>0.61458333333333337</v>
      </c>
      <c r="C269" s="5">
        <v>0.61597222222222225</v>
      </c>
      <c r="D269" s="6" t="s">
        <v>48</v>
      </c>
      <c r="E269" s="6" t="s">
        <v>47</v>
      </c>
      <c r="F269" s="5">
        <f>C269-B269</f>
        <v>1.388888888888884E-3</v>
      </c>
      <c r="G269" s="7">
        <f>HOUR(A269)*60+MINUTE(A269)</f>
        <v>885</v>
      </c>
      <c r="H269" s="5">
        <f>C269-B269</f>
        <v>1.388888888888884E-3</v>
      </c>
      <c r="I269" s="7">
        <f>HOUR(H269)*60+MINUTE(H269)</f>
        <v>2</v>
      </c>
      <c r="J269" s="10">
        <f t="shared" ref="J269:J310" si="76">G269-G268</f>
        <v>35</v>
      </c>
      <c r="K269" s="75"/>
    </row>
    <row r="270" spans="1:11">
      <c r="A270" s="5">
        <v>0.625</v>
      </c>
      <c r="B270" s="5">
        <v>0.625</v>
      </c>
      <c r="C270" s="5">
        <v>0.62777777777777777</v>
      </c>
      <c r="D270" s="6" t="s">
        <v>48</v>
      </c>
      <c r="E270" s="6" t="s">
        <v>47</v>
      </c>
      <c r="F270" s="5">
        <f>C270-B270</f>
        <v>2.7777777777777679E-3</v>
      </c>
      <c r="G270" s="7">
        <f>HOUR(A270)*60+MINUTE(A270)</f>
        <v>900</v>
      </c>
      <c r="H270" s="5">
        <f>C270-B270</f>
        <v>2.7777777777777679E-3</v>
      </c>
      <c r="I270" s="7">
        <f>HOUR(H270)*60+MINUTE(H270)</f>
        <v>4</v>
      </c>
      <c r="J270" s="10">
        <f t="shared" si="76"/>
        <v>15</v>
      </c>
      <c r="K270" s="75"/>
    </row>
    <row r="271" spans="1:11">
      <c r="A271" s="5">
        <v>0.6333333333333333</v>
      </c>
      <c r="B271" s="5">
        <v>0.6333333333333333</v>
      </c>
      <c r="C271" s="5">
        <v>0.63472222222222219</v>
      </c>
      <c r="D271" s="6" t="s">
        <v>48</v>
      </c>
      <c r="E271" s="6" t="s">
        <v>47</v>
      </c>
      <c r="F271" s="5">
        <f>C271-B271</f>
        <v>1.388888888888884E-3</v>
      </c>
      <c r="G271" s="7">
        <f>HOUR(A271)*60+MINUTE(A271)</f>
        <v>912</v>
      </c>
      <c r="H271" s="5">
        <f>C271-B271</f>
        <v>1.388888888888884E-3</v>
      </c>
      <c r="I271" s="7">
        <f>HOUR(H271)*60+MINUTE(H271)</f>
        <v>2</v>
      </c>
      <c r="J271" s="10">
        <f t="shared" si="76"/>
        <v>12</v>
      </c>
      <c r="K271" s="75"/>
    </row>
    <row r="272" spans="1:11">
      <c r="A272" s="5">
        <v>0.6333333333333333</v>
      </c>
      <c r="B272" s="5">
        <v>0.63472222222222219</v>
      </c>
      <c r="C272" s="5">
        <v>0.63749999999999996</v>
      </c>
      <c r="D272" s="6" t="s">
        <v>48</v>
      </c>
      <c r="E272" s="6" t="s">
        <v>47</v>
      </c>
      <c r="F272" s="5">
        <f>C272-B272</f>
        <v>2.7777777777777679E-3</v>
      </c>
      <c r="G272" s="7">
        <f>HOUR(A272)*60+MINUTE(A272)</f>
        <v>912</v>
      </c>
      <c r="H272" s="5">
        <f>C272-B272</f>
        <v>2.7777777777777679E-3</v>
      </c>
      <c r="I272" s="7">
        <f>HOUR(H272)*60+MINUTE(H272)</f>
        <v>4</v>
      </c>
      <c r="J272" s="10">
        <f t="shared" si="76"/>
        <v>0</v>
      </c>
      <c r="K272" s="75"/>
    </row>
    <row r="273" spans="1:11">
      <c r="A273" s="5">
        <v>0.63472222222222219</v>
      </c>
      <c r="B273" s="5">
        <v>0.63749999999999996</v>
      </c>
      <c r="C273" s="5">
        <v>0.6381944444444444</v>
      </c>
      <c r="D273" s="6" t="s">
        <v>48</v>
      </c>
      <c r="E273" s="6" t="s">
        <v>47</v>
      </c>
      <c r="F273" s="5">
        <f>C273-B273</f>
        <v>6.9444444444444198E-4</v>
      </c>
      <c r="G273" s="7">
        <f>HOUR(A273)*60+MINUTE(A273)</f>
        <v>914</v>
      </c>
      <c r="H273" s="5">
        <f>C273-B273</f>
        <v>6.9444444444444198E-4</v>
      </c>
      <c r="I273" s="7">
        <f>HOUR(H273)*60+MINUTE(H273)</f>
        <v>1</v>
      </c>
      <c r="J273" s="10">
        <f t="shared" si="76"/>
        <v>2</v>
      </c>
      <c r="K273" s="75"/>
    </row>
    <row r="274" spans="1:11">
      <c r="A274" s="5">
        <v>0.63680555555555551</v>
      </c>
      <c r="B274" s="5">
        <v>0.6381944444444444</v>
      </c>
      <c r="C274" s="5">
        <v>0.64166666666666672</v>
      </c>
      <c r="D274" s="6" t="s">
        <v>48</v>
      </c>
      <c r="E274" s="6" t="s">
        <v>47</v>
      </c>
      <c r="F274" s="5">
        <f>C274-B274</f>
        <v>3.4722222222223209E-3</v>
      </c>
      <c r="G274" s="7">
        <f>HOUR(A274)*60+MINUTE(A274)</f>
        <v>917</v>
      </c>
      <c r="H274" s="5">
        <f>C274-B274</f>
        <v>3.4722222222223209E-3</v>
      </c>
      <c r="I274" s="7">
        <f>HOUR(H274)*60+MINUTE(H274)</f>
        <v>5</v>
      </c>
      <c r="J274" s="10">
        <f t="shared" si="76"/>
        <v>3</v>
      </c>
      <c r="K274" s="75"/>
    </row>
    <row r="275" spans="1:11">
      <c r="A275" s="5">
        <v>0.64583333333333337</v>
      </c>
      <c r="B275" s="5">
        <v>0.64583333333333337</v>
      </c>
      <c r="C275" s="5">
        <v>0.64583333333333337</v>
      </c>
      <c r="D275" s="6" t="s">
        <v>48</v>
      </c>
      <c r="E275" s="6" t="s">
        <v>47</v>
      </c>
      <c r="F275" s="5">
        <f>C275-B275</f>
        <v>0</v>
      </c>
      <c r="G275" s="7">
        <f>HOUR(A275)*60+MINUTE(A275)</f>
        <v>930</v>
      </c>
      <c r="H275" s="5">
        <f>C275-B275</f>
        <v>0</v>
      </c>
      <c r="I275" s="7">
        <f>HOUR(H275)*60+MINUTE(H275)</f>
        <v>0</v>
      </c>
      <c r="J275" s="10">
        <f t="shared" si="76"/>
        <v>13</v>
      </c>
      <c r="K275" s="75"/>
    </row>
    <row r="276" spans="1:11">
      <c r="A276" s="5">
        <v>0.64861111111111114</v>
      </c>
      <c r="B276" s="5">
        <v>0.64861111111111114</v>
      </c>
      <c r="C276" s="5">
        <v>0.65694444444444444</v>
      </c>
      <c r="D276" s="6" t="s">
        <v>48</v>
      </c>
      <c r="E276" s="6" t="s">
        <v>47</v>
      </c>
      <c r="F276" s="5">
        <f>C276-B276</f>
        <v>8.3333333333333037E-3</v>
      </c>
      <c r="G276" s="7">
        <f>HOUR(A276)*60+MINUTE(A276)</f>
        <v>934</v>
      </c>
      <c r="H276" s="5">
        <f>C276-B276</f>
        <v>8.3333333333333037E-3</v>
      </c>
      <c r="I276" s="7">
        <f>HOUR(H276)*60+MINUTE(H276)</f>
        <v>12</v>
      </c>
      <c r="J276" s="10">
        <f t="shared" si="76"/>
        <v>4</v>
      </c>
      <c r="K276" s="75"/>
    </row>
    <row r="277" spans="1:11">
      <c r="A277" s="5">
        <v>0.65347222222222223</v>
      </c>
      <c r="B277" s="5">
        <v>0.65694444444444444</v>
      </c>
      <c r="C277" s="5">
        <v>0.65833333333333333</v>
      </c>
      <c r="D277" s="6" t="s">
        <v>48</v>
      </c>
      <c r="E277" s="6" t="s">
        <v>47</v>
      </c>
      <c r="F277" s="5">
        <f>C277-B277</f>
        <v>1.388888888888884E-3</v>
      </c>
      <c r="G277" s="7">
        <f>HOUR(A277)*60+MINUTE(A277)</f>
        <v>941</v>
      </c>
      <c r="H277" s="5">
        <f>C277-B277</f>
        <v>1.388888888888884E-3</v>
      </c>
      <c r="I277" s="7">
        <f>HOUR(H277)*60+MINUTE(H277)</f>
        <v>2</v>
      </c>
      <c r="J277" s="10">
        <f t="shared" si="76"/>
        <v>7</v>
      </c>
      <c r="K277" s="75"/>
    </row>
    <row r="278" spans="1:11">
      <c r="A278" s="5">
        <v>0.67291666666666672</v>
      </c>
      <c r="B278" s="5">
        <v>0.67291666666666672</v>
      </c>
      <c r="C278" s="5">
        <v>0.6743055555555556</v>
      </c>
      <c r="D278" s="6" t="s">
        <v>48</v>
      </c>
      <c r="E278" s="6" t="s">
        <v>47</v>
      </c>
      <c r="F278" s="5">
        <f>C278-B278</f>
        <v>1.388888888888884E-3</v>
      </c>
      <c r="G278" s="7">
        <f>HOUR(A278)*60+MINUTE(A278)</f>
        <v>969</v>
      </c>
      <c r="H278" s="5">
        <f>C278-B278</f>
        <v>1.388888888888884E-3</v>
      </c>
      <c r="I278" s="7">
        <f>HOUR(H278)*60+MINUTE(H278)</f>
        <v>2</v>
      </c>
      <c r="J278" s="10">
        <f t="shared" si="76"/>
        <v>28</v>
      </c>
      <c r="K278" s="75"/>
    </row>
    <row r="279" spans="1:11">
      <c r="A279" s="5">
        <v>0.67291666666666672</v>
      </c>
      <c r="B279" s="5">
        <v>0.6743055555555556</v>
      </c>
      <c r="C279" s="5">
        <v>0.68333333333333335</v>
      </c>
      <c r="D279" s="6" t="s">
        <v>48</v>
      </c>
      <c r="E279" s="6" t="s">
        <v>47</v>
      </c>
      <c r="F279" s="5">
        <f>C279-B279</f>
        <v>9.0277777777777457E-3</v>
      </c>
      <c r="G279" s="7">
        <f>HOUR(A279)*60+MINUTE(A279)</f>
        <v>969</v>
      </c>
      <c r="H279" s="5">
        <f>C279-B279</f>
        <v>9.0277777777777457E-3</v>
      </c>
      <c r="I279" s="7">
        <f>HOUR(H279)*60+MINUTE(H279)</f>
        <v>13</v>
      </c>
      <c r="J279" s="10">
        <f t="shared" si="76"/>
        <v>0</v>
      </c>
      <c r="K279" s="75"/>
    </row>
    <row r="280" spans="1:11">
      <c r="A280" s="5">
        <v>0.68194444444444446</v>
      </c>
      <c r="B280" s="5">
        <v>0.68333333333333335</v>
      </c>
      <c r="C280" s="5">
        <v>0.68888888888888888</v>
      </c>
      <c r="D280" s="6" t="s">
        <v>48</v>
      </c>
      <c r="E280" s="6" t="s">
        <v>47</v>
      </c>
      <c r="F280" s="5">
        <f>C280-B280</f>
        <v>5.5555555555555358E-3</v>
      </c>
      <c r="G280" s="7">
        <f>HOUR(A280)*60+MINUTE(A280)</f>
        <v>982</v>
      </c>
      <c r="H280" s="5">
        <f>C280-B280</f>
        <v>5.5555555555555358E-3</v>
      </c>
      <c r="I280" s="7">
        <f>HOUR(H280)*60+MINUTE(H280)</f>
        <v>8</v>
      </c>
      <c r="J280" s="10">
        <f t="shared" si="76"/>
        <v>13</v>
      </c>
      <c r="K280" s="75"/>
    </row>
    <row r="281" spans="1:11">
      <c r="A281" s="5">
        <v>0.69097222222222221</v>
      </c>
      <c r="B281" s="5">
        <v>0.69097222222222221</v>
      </c>
      <c r="C281" s="5">
        <v>0.6958333333333333</v>
      </c>
      <c r="D281" s="6" t="s">
        <v>48</v>
      </c>
      <c r="E281" s="6" t="s">
        <v>47</v>
      </c>
      <c r="F281" s="5">
        <f>C281-B281</f>
        <v>4.8611111111110938E-3</v>
      </c>
      <c r="G281" s="7">
        <f>HOUR(A281)*60+MINUTE(A281)</f>
        <v>995</v>
      </c>
      <c r="H281" s="5">
        <f>C281-B281</f>
        <v>4.8611111111110938E-3</v>
      </c>
      <c r="I281" s="7">
        <f>HOUR(H281)*60+MINUTE(H281)</f>
        <v>7</v>
      </c>
      <c r="J281" s="10">
        <f t="shared" si="76"/>
        <v>13</v>
      </c>
      <c r="K281" s="75"/>
    </row>
    <row r="282" spans="1:11">
      <c r="A282" s="5">
        <v>0.70277777777777772</v>
      </c>
      <c r="B282" s="5">
        <v>0.70277777777777772</v>
      </c>
      <c r="C282" s="5">
        <v>0.70625000000000004</v>
      </c>
      <c r="D282" s="6" t="s">
        <v>48</v>
      </c>
      <c r="E282" s="6" t="s">
        <v>47</v>
      </c>
      <c r="F282" s="5">
        <f>C282-B282</f>
        <v>3.4722222222223209E-3</v>
      </c>
      <c r="G282" s="7">
        <f>HOUR(A282)*60+MINUTE(A282)</f>
        <v>1012</v>
      </c>
      <c r="H282" s="5">
        <f>C282-B282</f>
        <v>3.4722222222223209E-3</v>
      </c>
      <c r="I282" s="7">
        <f>HOUR(H282)*60+MINUTE(H282)</f>
        <v>5</v>
      </c>
      <c r="J282" s="10">
        <f t="shared" si="76"/>
        <v>17</v>
      </c>
      <c r="K282" s="75"/>
    </row>
    <row r="283" spans="1:11">
      <c r="A283" s="5">
        <v>0.70347222222222228</v>
      </c>
      <c r="B283" s="5">
        <v>0.70625000000000004</v>
      </c>
      <c r="C283" s="5">
        <v>0.70833333333333337</v>
      </c>
      <c r="D283" s="6" t="s">
        <v>48</v>
      </c>
      <c r="E283" s="6" t="s">
        <v>47</v>
      </c>
      <c r="F283" s="5">
        <f>C283-B283</f>
        <v>2.0833333333333259E-3</v>
      </c>
      <c r="G283" s="7">
        <f>HOUR(A283)*60+MINUTE(A283)</f>
        <v>1013</v>
      </c>
      <c r="H283" s="5">
        <f>C283-B283</f>
        <v>2.0833333333333259E-3</v>
      </c>
      <c r="I283" s="7">
        <f>HOUR(H283)*60+MINUTE(H283)</f>
        <v>3</v>
      </c>
      <c r="J283" s="10">
        <f t="shared" si="76"/>
        <v>1</v>
      </c>
      <c r="K283" s="75"/>
    </row>
    <row r="284" spans="1:11">
      <c r="A284" s="5">
        <v>0.70416666666666672</v>
      </c>
      <c r="B284" s="5">
        <v>0.70833333333333337</v>
      </c>
      <c r="C284" s="5">
        <v>0.70902777777777781</v>
      </c>
      <c r="D284" s="6" t="s">
        <v>48</v>
      </c>
      <c r="E284" s="6" t="s">
        <v>47</v>
      </c>
      <c r="F284" s="5">
        <f>C284-B284</f>
        <v>6.9444444444444198E-4</v>
      </c>
      <c r="G284" s="7">
        <f>HOUR(A284)*60+MINUTE(A284)</f>
        <v>1014</v>
      </c>
      <c r="H284" s="5">
        <f>C284-B284</f>
        <v>6.9444444444444198E-4</v>
      </c>
      <c r="I284" s="7">
        <f>HOUR(H284)*60+MINUTE(H284)</f>
        <v>1</v>
      </c>
      <c r="J284" s="10">
        <f t="shared" si="76"/>
        <v>1</v>
      </c>
      <c r="K284" s="75"/>
    </row>
    <row r="285" spans="1:11">
      <c r="A285" s="5">
        <v>0.7055555555555556</v>
      </c>
      <c r="B285" s="5">
        <v>0.70902777777777781</v>
      </c>
      <c r="C285" s="5">
        <v>0.71180555555555558</v>
      </c>
      <c r="D285" s="6" t="s">
        <v>48</v>
      </c>
      <c r="E285" s="6" t="s">
        <v>47</v>
      </c>
      <c r="F285" s="5">
        <f>C285-B285</f>
        <v>2.7777777777777679E-3</v>
      </c>
      <c r="G285" s="7">
        <f>HOUR(A285)*60+MINUTE(A285)</f>
        <v>1016</v>
      </c>
      <c r="H285" s="5">
        <f>C285-B285</f>
        <v>2.7777777777777679E-3</v>
      </c>
      <c r="I285" s="7">
        <f>HOUR(H285)*60+MINUTE(H285)</f>
        <v>4</v>
      </c>
      <c r="J285" s="10">
        <f t="shared" si="76"/>
        <v>2</v>
      </c>
      <c r="K285" s="75"/>
    </row>
    <row r="286" spans="1:11">
      <c r="A286" s="5">
        <v>0.71250000000000002</v>
      </c>
      <c r="B286" s="5">
        <v>0.71250000000000002</v>
      </c>
      <c r="C286" s="5">
        <v>0.71319444444444446</v>
      </c>
      <c r="D286" s="6" t="s">
        <v>48</v>
      </c>
      <c r="E286" s="6" t="s">
        <v>47</v>
      </c>
      <c r="F286" s="5">
        <f>C286-B286</f>
        <v>6.9444444444444198E-4</v>
      </c>
      <c r="G286" s="7">
        <f>HOUR(A286)*60+MINUTE(A286)</f>
        <v>1026</v>
      </c>
      <c r="H286" s="5">
        <f>C286-B286</f>
        <v>6.9444444444444198E-4</v>
      </c>
      <c r="I286" s="7">
        <f>HOUR(H286)*60+MINUTE(H286)</f>
        <v>1</v>
      </c>
      <c r="J286" s="10">
        <f t="shared" si="76"/>
        <v>10</v>
      </c>
      <c r="K286" s="75"/>
    </row>
    <row r="287" spans="1:11">
      <c r="A287" s="5">
        <v>0.71944444444444444</v>
      </c>
      <c r="B287" s="5">
        <v>0.71944444444444444</v>
      </c>
      <c r="C287" s="5">
        <v>0.72152777777777777</v>
      </c>
      <c r="D287" s="6" t="s">
        <v>48</v>
      </c>
      <c r="E287" s="6" t="s">
        <v>47</v>
      </c>
      <c r="F287" s="5">
        <f>C287-B287</f>
        <v>2.0833333333333259E-3</v>
      </c>
      <c r="G287" s="7">
        <f>HOUR(A287)*60+MINUTE(A287)</f>
        <v>1036</v>
      </c>
      <c r="H287" s="5">
        <f>C287-B287</f>
        <v>2.0833333333333259E-3</v>
      </c>
      <c r="I287" s="7">
        <f>HOUR(H287)*60+MINUTE(H287)</f>
        <v>3</v>
      </c>
      <c r="J287" s="10">
        <f t="shared" si="76"/>
        <v>10</v>
      </c>
      <c r="K287" s="75"/>
    </row>
    <row r="288" spans="1:11">
      <c r="A288" s="5">
        <v>0.72152777777777777</v>
      </c>
      <c r="B288" s="5">
        <v>0.72152777777777777</v>
      </c>
      <c r="C288" s="5">
        <v>0.72777777777777775</v>
      </c>
      <c r="D288" s="6" t="s">
        <v>48</v>
      </c>
      <c r="E288" s="6" t="s">
        <v>47</v>
      </c>
      <c r="F288" s="5">
        <f>C288-B288</f>
        <v>6.2499999999999778E-3</v>
      </c>
      <c r="G288" s="7">
        <f>HOUR(A288)*60+MINUTE(A288)</f>
        <v>1039</v>
      </c>
      <c r="H288" s="5">
        <f>C288-B288</f>
        <v>6.2499999999999778E-3</v>
      </c>
      <c r="I288" s="7">
        <f>HOUR(H288)*60+MINUTE(H288)</f>
        <v>9</v>
      </c>
      <c r="J288" s="10">
        <f t="shared" si="76"/>
        <v>3</v>
      </c>
      <c r="K288" s="75"/>
    </row>
    <row r="289" spans="1:11">
      <c r="A289" s="5">
        <v>0.73263888888888884</v>
      </c>
      <c r="B289" s="5">
        <v>0.73263888888888884</v>
      </c>
      <c r="C289" s="5">
        <v>0.73402777777777772</v>
      </c>
      <c r="D289" s="6" t="s">
        <v>48</v>
      </c>
      <c r="E289" s="6" t="s">
        <v>47</v>
      </c>
      <c r="F289" s="5">
        <f>C289-B289</f>
        <v>1.388888888888884E-3</v>
      </c>
      <c r="G289" s="7">
        <f>HOUR(A289)*60+MINUTE(A289)</f>
        <v>1055</v>
      </c>
      <c r="H289" s="5">
        <f>C289-B289</f>
        <v>1.388888888888884E-3</v>
      </c>
      <c r="I289" s="7">
        <f>HOUR(H289)*60+MINUTE(H289)</f>
        <v>2</v>
      </c>
      <c r="J289" s="10">
        <f t="shared" si="76"/>
        <v>16</v>
      </c>
      <c r="K289" s="75"/>
    </row>
    <row r="290" spans="1:11">
      <c r="A290" s="5">
        <v>0.7416666666666667</v>
      </c>
      <c r="B290" s="5">
        <v>0.7416666666666667</v>
      </c>
      <c r="C290" s="5">
        <v>0.74652777777777779</v>
      </c>
      <c r="D290" s="6" t="s">
        <v>48</v>
      </c>
      <c r="E290" s="6" t="s">
        <v>47</v>
      </c>
      <c r="F290" s="5">
        <f>C290-B290</f>
        <v>4.8611111111110938E-3</v>
      </c>
      <c r="G290" s="7">
        <f>HOUR(A290)*60+MINUTE(A290)</f>
        <v>1068</v>
      </c>
      <c r="H290" s="5">
        <f>C290-B290</f>
        <v>4.8611111111110938E-3</v>
      </c>
      <c r="I290" s="7">
        <f>HOUR(H290)*60+MINUTE(H290)</f>
        <v>7</v>
      </c>
      <c r="J290" s="10">
        <f t="shared" si="76"/>
        <v>13</v>
      </c>
      <c r="K290" s="75"/>
    </row>
    <row r="291" spans="1:11">
      <c r="A291" s="5">
        <v>0.74375000000000002</v>
      </c>
      <c r="B291" s="5">
        <v>0.74652777777777779</v>
      </c>
      <c r="C291" s="5">
        <v>0.75347222222222221</v>
      </c>
      <c r="D291" s="6" t="s">
        <v>48</v>
      </c>
      <c r="E291" s="6" t="s">
        <v>47</v>
      </c>
      <c r="F291" s="5">
        <f>C291-B291</f>
        <v>6.9444444444444198E-3</v>
      </c>
      <c r="G291" s="7">
        <f>HOUR(A291)*60+MINUTE(A291)</f>
        <v>1071</v>
      </c>
      <c r="H291" s="5">
        <f>C291-B291</f>
        <v>6.9444444444444198E-3</v>
      </c>
      <c r="I291" s="7">
        <f>HOUR(H291)*60+MINUTE(H291)</f>
        <v>10</v>
      </c>
      <c r="J291" s="10">
        <f t="shared" si="76"/>
        <v>3</v>
      </c>
      <c r="K291" s="75"/>
    </row>
    <row r="292" spans="1:11">
      <c r="A292" s="5">
        <v>0.74722222222222223</v>
      </c>
      <c r="B292" s="5">
        <v>0.75347222222222221</v>
      </c>
      <c r="C292" s="5">
        <v>0.75763888888888886</v>
      </c>
      <c r="D292" s="6" t="s">
        <v>48</v>
      </c>
      <c r="E292" s="6" t="s">
        <v>47</v>
      </c>
      <c r="F292" s="5">
        <f>C292-B292</f>
        <v>4.1666666666666519E-3</v>
      </c>
      <c r="G292" s="7">
        <f>HOUR(A292)*60+MINUTE(A292)</f>
        <v>1076</v>
      </c>
      <c r="H292" s="5">
        <f>C292-B292</f>
        <v>4.1666666666666519E-3</v>
      </c>
      <c r="I292" s="7">
        <f>HOUR(H292)*60+MINUTE(H292)</f>
        <v>6</v>
      </c>
      <c r="J292" s="10">
        <f t="shared" si="76"/>
        <v>5</v>
      </c>
      <c r="K292" s="75"/>
    </row>
    <row r="293" spans="1:11">
      <c r="A293" s="5">
        <v>0.7583333333333333</v>
      </c>
      <c r="B293" s="5">
        <v>0.7583333333333333</v>
      </c>
      <c r="C293" s="5">
        <v>0.76249999999999996</v>
      </c>
      <c r="D293" s="6" t="s">
        <v>48</v>
      </c>
      <c r="E293" s="6" t="s">
        <v>47</v>
      </c>
      <c r="F293" s="5">
        <f>C293-B293</f>
        <v>4.1666666666666519E-3</v>
      </c>
      <c r="G293" s="7">
        <f>HOUR(A293)*60+MINUTE(A293)</f>
        <v>1092</v>
      </c>
      <c r="H293" s="5">
        <f>C293-B293</f>
        <v>4.1666666666666519E-3</v>
      </c>
      <c r="I293" s="7">
        <f>HOUR(H293)*60+MINUTE(H293)</f>
        <v>6</v>
      </c>
      <c r="J293" s="10">
        <f t="shared" si="76"/>
        <v>16</v>
      </c>
      <c r="K293" s="75"/>
    </row>
    <row r="294" spans="1:11">
      <c r="A294" s="5">
        <v>0.76111111111111107</v>
      </c>
      <c r="B294" s="5">
        <v>0.76249999999999996</v>
      </c>
      <c r="C294" s="5">
        <v>0.76388888888888884</v>
      </c>
      <c r="D294" s="6" t="s">
        <v>48</v>
      </c>
      <c r="E294" s="6" t="s">
        <v>47</v>
      </c>
      <c r="F294" s="5">
        <f>C294-B294</f>
        <v>1.388888888888884E-3</v>
      </c>
      <c r="G294" s="7">
        <f>HOUR(A294)*60+MINUTE(A294)</f>
        <v>1096</v>
      </c>
      <c r="H294" s="5">
        <f>C294-B294</f>
        <v>1.388888888888884E-3</v>
      </c>
      <c r="I294" s="7">
        <f>HOUR(H294)*60+MINUTE(H294)</f>
        <v>2</v>
      </c>
      <c r="J294" s="10">
        <f t="shared" si="76"/>
        <v>4</v>
      </c>
      <c r="K294" s="75"/>
    </row>
    <row r="295" spans="1:11">
      <c r="A295" s="5">
        <v>0.76527777777777772</v>
      </c>
      <c r="B295" s="5">
        <v>0.76527777777777772</v>
      </c>
      <c r="C295" s="5">
        <v>0.76666666666666672</v>
      </c>
      <c r="D295" s="6" t="s">
        <v>48</v>
      </c>
      <c r="E295" s="6" t="s">
        <v>47</v>
      </c>
      <c r="F295" s="5">
        <f>C295-B295</f>
        <v>1.388888888888995E-3</v>
      </c>
      <c r="G295" s="7">
        <f>HOUR(A295)*60+MINUTE(A295)</f>
        <v>1102</v>
      </c>
      <c r="H295" s="5">
        <f>C295-B295</f>
        <v>1.388888888888995E-3</v>
      </c>
      <c r="I295" s="7">
        <f>HOUR(H295)*60+MINUTE(H295)</f>
        <v>2</v>
      </c>
      <c r="J295" s="10">
        <f t="shared" si="76"/>
        <v>6</v>
      </c>
      <c r="K295" s="75"/>
    </row>
    <row r="296" spans="1:11">
      <c r="A296" s="5">
        <v>0.76736111111111116</v>
      </c>
      <c r="B296" s="5">
        <v>0.76736111111111116</v>
      </c>
      <c r="C296" s="5">
        <v>0.76736111111111116</v>
      </c>
      <c r="D296" s="6" t="s">
        <v>48</v>
      </c>
      <c r="E296" s="6" t="s">
        <v>47</v>
      </c>
      <c r="F296" s="5">
        <f>C296-B296</f>
        <v>0</v>
      </c>
      <c r="G296" s="7">
        <f>HOUR(A296)*60+MINUTE(A296)</f>
        <v>1105</v>
      </c>
      <c r="H296" s="5">
        <f>C296-B296</f>
        <v>0</v>
      </c>
      <c r="I296" s="7">
        <f>HOUR(H296)*60+MINUTE(H296)</f>
        <v>0</v>
      </c>
      <c r="J296" s="10">
        <f t="shared" si="76"/>
        <v>3</v>
      </c>
      <c r="K296" s="75"/>
    </row>
    <row r="297" spans="1:11">
      <c r="A297" s="5">
        <v>0.7680555555555556</v>
      </c>
      <c r="B297" s="5">
        <v>0.7680555555555556</v>
      </c>
      <c r="C297" s="5">
        <v>0.76944444444444449</v>
      </c>
      <c r="D297" s="6" t="s">
        <v>48</v>
      </c>
      <c r="E297" s="6" t="s">
        <v>47</v>
      </c>
      <c r="F297" s="5">
        <f>C297-B297</f>
        <v>1.388888888888884E-3</v>
      </c>
      <c r="G297" s="7">
        <f>HOUR(A297)*60+MINUTE(A297)</f>
        <v>1106</v>
      </c>
      <c r="H297" s="5">
        <f>C297-B297</f>
        <v>1.388888888888884E-3</v>
      </c>
      <c r="I297" s="7">
        <f>HOUR(H297)*60+MINUTE(H297)</f>
        <v>2</v>
      </c>
      <c r="J297" s="10">
        <f t="shared" si="76"/>
        <v>1</v>
      </c>
      <c r="K297" s="75"/>
    </row>
    <row r="298" spans="1:11">
      <c r="A298" s="5">
        <v>0.82013888888888886</v>
      </c>
      <c r="B298" s="5">
        <v>0.82013888888888886</v>
      </c>
      <c r="C298" s="5">
        <v>0.82291666666666663</v>
      </c>
      <c r="D298" s="6" t="s">
        <v>48</v>
      </c>
      <c r="E298" s="6" t="s">
        <v>47</v>
      </c>
      <c r="F298" s="5">
        <f>C298-B298</f>
        <v>2.7777777777777679E-3</v>
      </c>
      <c r="G298" s="7">
        <f>HOUR(A298)*60+MINUTE(A298)</f>
        <v>1181</v>
      </c>
      <c r="H298" s="5">
        <f>C298-B298</f>
        <v>2.7777777777777679E-3</v>
      </c>
      <c r="I298" s="7">
        <f>HOUR(H298)*60+MINUTE(H298)</f>
        <v>4</v>
      </c>
      <c r="J298" s="10">
        <f>G298-G297</f>
        <v>75</v>
      </c>
      <c r="K298" s="75"/>
    </row>
    <row r="299" spans="1:11">
      <c r="A299" s="5">
        <v>0.83402777777777781</v>
      </c>
      <c r="B299" s="5">
        <v>0.83402777777777781</v>
      </c>
      <c r="C299" s="5">
        <v>0.83680555555555558</v>
      </c>
      <c r="D299" s="6" t="s">
        <v>48</v>
      </c>
      <c r="E299" s="6" t="s">
        <v>47</v>
      </c>
      <c r="F299" s="5">
        <f>C299-B299</f>
        <v>2.7777777777777679E-3</v>
      </c>
      <c r="G299" s="7">
        <f>HOUR(A299)*60+MINUTE(A299)</f>
        <v>1201</v>
      </c>
      <c r="H299" s="5">
        <f>C299-B299</f>
        <v>2.7777777777777679E-3</v>
      </c>
      <c r="I299" s="7">
        <f>HOUR(H299)*60+MINUTE(H299)</f>
        <v>4</v>
      </c>
      <c r="J299" s="10">
        <f>G299-G298</f>
        <v>20</v>
      </c>
      <c r="K299" s="75"/>
    </row>
    <row r="300" spans="1:11">
      <c r="A300" s="5">
        <v>0.83750000000000002</v>
      </c>
      <c r="B300" s="5">
        <v>0.83750000000000002</v>
      </c>
      <c r="C300" s="5">
        <v>0.84791666666666665</v>
      </c>
      <c r="D300" s="6" t="s">
        <v>48</v>
      </c>
      <c r="E300" s="6" t="s">
        <v>47</v>
      </c>
      <c r="F300" s="5">
        <f>C300-B300</f>
        <v>1.041666666666663E-2</v>
      </c>
      <c r="G300" s="7">
        <f>HOUR(A300)*60+MINUTE(A300)</f>
        <v>1206</v>
      </c>
      <c r="H300" s="5">
        <f>C300-B300</f>
        <v>1.041666666666663E-2</v>
      </c>
      <c r="I300" s="7">
        <f>HOUR(H300)*60+MINUTE(H300)</f>
        <v>15</v>
      </c>
      <c r="J300" s="10">
        <f>G300-G299</f>
        <v>5</v>
      </c>
      <c r="K300" s="75"/>
    </row>
    <row r="301" spans="1:11">
      <c r="A301" s="5">
        <v>0.88055555555555554</v>
      </c>
      <c r="B301" s="5">
        <v>0.88055555555555554</v>
      </c>
      <c r="C301" s="5">
        <v>0.88194444444444442</v>
      </c>
      <c r="D301" s="6" t="s">
        <v>48</v>
      </c>
      <c r="E301" s="6" t="s">
        <v>47</v>
      </c>
      <c r="F301" s="5">
        <f>C301-B301</f>
        <v>1.388888888888884E-3</v>
      </c>
      <c r="G301" s="7">
        <f>HOUR(A301)*60+MINUTE(A301)</f>
        <v>1268</v>
      </c>
      <c r="H301" s="5">
        <f>C301-B301</f>
        <v>1.388888888888884E-3</v>
      </c>
      <c r="I301" s="7">
        <f>HOUR(H301)*60+MINUTE(H301)</f>
        <v>2</v>
      </c>
      <c r="J301" s="10">
        <f>G301-G300</f>
        <v>62</v>
      </c>
      <c r="K301" s="75"/>
    </row>
    <row r="302" spans="1:11">
      <c r="A302" s="5">
        <v>0.88263888888888886</v>
      </c>
      <c r="B302" s="5">
        <v>0.88263888888888886</v>
      </c>
      <c r="C302" s="5">
        <v>0.88263888888888886</v>
      </c>
      <c r="D302" s="6" t="s">
        <v>48</v>
      </c>
      <c r="E302" s="6" t="s">
        <v>47</v>
      </c>
      <c r="F302" s="5">
        <f>C302-B302</f>
        <v>0</v>
      </c>
      <c r="G302" s="7">
        <f>HOUR(A302)*60+MINUTE(A302)</f>
        <v>1271</v>
      </c>
      <c r="H302" s="5">
        <f>C302-B302</f>
        <v>0</v>
      </c>
      <c r="I302" s="7">
        <f>HOUR(H302)*60+MINUTE(H302)</f>
        <v>0</v>
      </c>
      <c r="J302" s="10">
        <f>G302-G301</f>
        <v>3</v>
      </c>
      <c r="K302" s="75"/>
    </row>
    <row r="303" spans="1:11">
      <c r="A303" s="5">
        <v>0.88472222222222219</v>
      </c>
      <c r="B303" s="5">
        <v>0.88472222222222219</v>
      </c>
      <c r="C303" s="5">
        <v>0.88680555555555551</v>
      </c>
      <c r="D303" s="6" t="s">
        <v>48</v>
      </c>
      <c r="E303" s="6" t="s">
        <v>47</v>
      </c>
      <c r="F303" s="5">
        <f>C303-B303</f>
        <v>2.0833333333333259E-3</v>
      </c>
      <c r="G303" s="7">
        <f>HOUR(A303)*60+MINUTE(A303)</f>
        <v>1274</v>
      </c>
      <c r="H303" s="5">
        <f>C303-B303</f>
        <v>2.0833333333333259E-3</v>
      </c>
      <c r="I303" s="7">
        <f>HOUR(H303)*60+MINUTE(H303)</f>
        <v>3</v>
      </c>
      <c r="J303" s="10">
        <f>G303-G302</f>
        <v>3</v>
      </c>
      <c r="K303" s="75"/>
    </row>
    <row r="304" spans="1:11">
      <c r="A304" s="5">
        <v>0.88958333333333328</v>
      </c>
      <c r="B304" s="5">
        <v>0.88958333333333328</v>
      </c>
      <c r="C304" s="5">
        <v>0.8930555555555556</v>
      </c>
      <c r="D304" s="6" t="s">
        <v>48</v>
      </c>
      <c r="E304" s="6" t="s">
        <v>47</v>
      </c>
      <c r="F304" s="5">
        <f>C304-B304</f>
        <v>3.4722222222223209E-3</v>
      </c>
      <c r="G304" s="7">
        <f>HOUR(A304)*60+MINUTE(A304)</f>
        <v>1281</v>
      </c>
      <c r="H304" s="5">
        <f>C304-B304</f>
        <v>3.4722222222223209E-3</v>
      </c>
      <c r="I304" s="7">
        <f>HOUR(H304)*60+MINUTE(H304)</f>
        <v>5</v>
      </c>
      <c r="J304" s="10">
        <f>G304-G303</f>
        <v>7</v>
      </c>
      <c r="K304" s="75"/>
    </row>
    <row r="305" spans="1:11">
      <c r="A305" s="5">
        <v>0.89861111111111114</v>
      </c>
      <c r="B305" s="5">
        <v>0.89861111111111114</v>
      </c>
      <c r="C305" s="5">
        <v>0.90208333333333335</v>
      </c>
      <c r="D305" s="6" t="s">
        <v>48</v>
      </c>
      <c r="E305" s="6" t="s">
        <v>47</v>
      </c>
      <c r="F305" s="5">
        <f>C305-B305</f>
        <v>3.4722222222222099E-3</v>
      </c>
      <c r="G305" s="7">
        <f>HOUR(A305)*60+MINUTE(A305)</f>
        <v>1294</v>
      </c>
      <c r="H305" s="5">
        <f>C305-B305</f>
        <v>3.4722222222222099E-3</v>
      </c>
      <c r="I305" s="7">
        <f>HOUR(H305)*60+MINUTE(H305)</f>
        <v>5</v>
      </c>
      <c r="J305" s="10">
        <f>G305-G304</f>
        <v>13</v>
      </c>
      <c r="K305" s="75"/>
    </row>
    <row r="306" spans="1:11">
      <c r="A306" s="5">
        <v>0.9</v>
      </c>
      <c r="B306" s="5">
        <v>0.90208333333333335</v>
      </c>
      <c r="C306" s="5">
        <v>0.90486111111111112</v>
      </c>
      <c r="D306" s="6" t="s">
        <v>48</v>
      </c>
      <c r="E306" s="6" t="s">
        <v>47</v>
      </c>
      <c r="F306" s="5">
        <f>C306-B306</f>
        <v>2.7777777777777679E-3</v>
      </c>
      <c r="G306" s="7">
        <f>HOUR(A306)*60+MINUTE(A306)</f>
        <v>1296</v>
      </c>
      <c r="H306" s="5">
        <f>C306-B306</f>
        <v>2.7777777777777679E-3</v>
      </c>
      <c r="I306" s="7">
        <f>HOUR(H306)*60+MINUTE(H306)</f>
        <v>4</v>
      </c>
      <c r="J306" s="10">
        <f>G306-G305</f>
        <v>2</v>
      </c>
      <c r="K306" s="75"/>
    </row>
    <row r="307" spans="1:11">
      <c r="A307" s="5">
        <v>0.93680555555555556</v>
      </c>
      <c r="B307" s="5">
        <v>0.93680555555555556</v>
      </c>
      <c r="C307" s="5">
        <v>0.94027777777777777</v>
      </c>
      <c r="D307" s="6" t="s">
        <v>48</v>
      </c>
      <c r="E307" s="6" t="s">
        <v>47</v>
      </c>
      <c r="F307" s="5">
        <f>C307-B307</f>
        <v>3.4722222222222099E-3</v>
      </c>
      <c r="G307" s="7">
        <f>HOUR(A307)*60+MINUTE(A307)</f>
        <v>1349</v>
      </c>
      <c r="H307" s="5">
        <f>C307-B307</f>
        <v>3.4722222222222099E-3</v>
      </c>
      <c r="I307" s="7">
        <f>HOUR(H307)*60+MINUTE(H307)</f>
        <v>5</v>
      </c>
      <c r="J307" s="10">
        <f>G307-G306</f>
        <v>53</v>
      </c>
      <c r="K307" s="75"/>
    </row>
    <row r="308" spans="1:11">
      <c r="A308" s="5">
        <v>0.93958333333333333</v>
      </c>
      <c r="B308" s="5">
        <v>0.94027777777777777</v>
      </c>
      <c r="C308" s="5">
        <v>0.94027777777777777</v>
      </c>
      <c r="D308" s="6" t="s">
        <v>48</v>
      </c>
      <c r="E308" s="6" t="s">
        <v>47</v>
      </c>
      <c r="F308" s="5">
        <f>C308-B308</f>
        <v>0</v>
      </c>
      <c r="G308" s="7">
        <f>HOUR(A308)*60+MINUTE(A308)</f>
        <v>1353</v>
      </c>
      <c r="H308" s="5">
        <f>C308-B308</f>
        <v>0</v>
      </c>
      <c r="I308" s="7">
        <f>HOUR(H308)*60+MINUTE(H308)</f>
        <v>0</v>
      </c>
      <c r="J308" s="10">
        <f>G308-G307</f>
        <v>4</v>
      </c>
      <c r="K308" s="75"/>
    </row>
    <row r="309" spans="1:11">
      <c r="A309" s="5">
        <v>0.9458333333333333</v>
      </c>
      <c r="B309" s="5">
        <v>0.9458333333333333</v>
      </c>
      <c r="C309" s="5">
        <v>0.94791666666666663</v>
      </c>
      <c r="D309" s="6" t="s">
        <v>48</v>
      </c>
      <c r="E309" s="6" t="s">
        <v>47</v>
      </c>
      <c r="F309" s="5">
        <f>C309-B309</f>
        <v>2.0833333333333259E-3</v>
      </c>
      <c r="G309" s="7">
        <f>HOUR(A309)*60+MINUTE(A309)</f>
        <v>1362</v>
      </c>
      <c r="H309" s="5">
        <f>C309-B309</f>
        <v>2.0833333333333259E-3</v>
      </c>
      <c r="I309" s="7">
        <f>HOUR(H309)*60+MINUTE(H309)</f>
        <v>3</v>
      </c>
      <c r="J309" s="10">
        <f>G309-G308</f>
        <v>9</v>
      </c>
      <c r="K309" s="75"/>
    </row>
    <row r="310" spans="1:11">
      <c r="A310" s="5">
        <v>0.95347222222222228</v>
      </c>
      <c r="B310" s="5">
        <v>0.95347222222222228</v>
      </c>
      <c r="C310" s="5">
        <v>0.95625000000000004</v>
      </c>
      <c r="D310" s="6" t="s">
        <v>48</v>
      </c>
      <c r="E310" s="6" t="s">
        <v>47</v>
      </c>
      <c r="F310" s="5">
        <f>C310-B310</f>
        <v>2.7777777777777679E-3</v>
      </c>
      <c r="G310" s="7">
        <f>HOUR(A310)*60+MINUTE(A310)</f>
        <v>1373</v>
      </c>
      <c r="H310" s="5">
        <f>C310-B310</f>
        <v>2.7777777777777679E-3</v>
      </c>
      <c r="I310" s="7">
        <f>HOUR(H310)*60+MINUTE(H310)</f>
        <v>4</v>
      </c>
      <c r="J310" s="10">
        <f>G310-G309</f>
        <v>11</v>
      </c>
      <c r="K310" s="75"/>
    </row>
    <row r="311" spans="1:11">
      <c r="F311" t="s">
        <v>95</v>
      </c>
      <c r="G311">
        <f>1/I311</f>
        <v>0.2391304347826087</v>
      </c>
      <c r="H311" t="s">
        <v>96</v>
      </c>
      <c r="I311" s="1">
        <f>AVERAGE(I267:I310)</f>
        <v>4.1818181818181817</v>
      </c>
      <c r="K311" s="75"/>
    </row>
    <row r="312" spans="1:11">
      <c r="H312" t="s">
        <v>97</v>
      </c>
      <c r="I312" s="1" t="s">
        <v>94</v>
      </c>
      <c r="J312" s="1">
        <f>AVERAGE(J268:J310)</f>
        <v>12.325581395348838</v>
      </c>
      <c r="K312" s="75"/>
    </row>
    <row r="313" spans="1:11">
      <c r="I313" s="1" t="s">
        <v>38</v>
      </c>
      <c r="J313">
        <f>1/J312</f>
        <v>8.1132075471698109E-2</v>
      </c>
      <c r="K313" s="75"/>
    </row>
    <row r="314" spans="1:11">
      <c r="K314" s="75"/>
    </row>
    <row r="315" spans="1:11">
      <c r="K315" s="75"/>
    </row>
    <row r="316" spans="1:11">
      <c r="J316" s="1"/>
      <c r="K316" s="75"/>
    </row>
    <row r="320" spans="1:11">
      <c r="A320" t="s">
        <v>98</v>
      </c>
    </row>
    <row r="321" spans="1:3">
      <c r="A321" t="s">
        <v>99</v>
      </c>
      <c r="B321">
        <f>B177/E177</f>
        <v>0.93818181818181812</v>
      </c>
    </row>
    <row r="322" spans="1:3">
      <c r="A322" t="s">
        <v>100</v>
      </c>
      <c r="B322">
        <f>J265/G263</f>
        <v>0.59359452736318408</v>
      </c>
    </row>
    <row r="323" spans="1:3">
      <c r="A323" t="s">
        <v>101</v>
      </c>
      <c r="B323">
        <f>J313/G311</f>
        <v>0.33927958833619209</v>
      </c>
    </row>
    <row r="324" spans="1:3">
      <c r="A324" t="s">
        <v>102</v>
      </c>
      <c r="C324">
        <f>(J313+J265+B177)/(G311+G263+E177)</f>
        <v>0.63222745353421572</v>
      </c>
    </row>
    <row r="326" spans="1:3">
      <c r="A326" t="s">
        <v>103</v>
      </c>
    </row>
    <row r="327" spans="1:3">
      <c r="A327" t="s">
        <v>104</v>
      </c>
      <c r="B327">
        <v>0.93818181818181812</v>
      </c>
    </row>
    <row r="328" spans="1:3">
      <c r="A328" t="s">
        <v>105</v>
      </c>
      <c r="B328">
        <f>(B322+B323)/2</f>
        <v>0.46643705784968809</v>
      </c>
    </row>
  </sheetData>
  <mergeCells count="7">
    <mergeCell ref="P160:W160"/>
    <mergeCell ref="O119:V119"/>
    <mergeCell ref="O15:V15"/>
    <mergeCell ref="O32:V32"/>
    <mergeCell ref="Q61:X61"/>
    <mergeCell ref="O79:V79"/>
    <mergeCell ref="O99:V9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A878-D230-48B7-A14E-E43C56F2EADE}">
  <sheetPr>
    <pageSetUpPr fitToPage="1"/>
  </sheetPr>
  <dimension ref="A2:J83"/>
  <sheetViews>
    <sheetView topLeftCell="A10" workbookViewId="0">
      <selection activeCell="C12" sqref="C12"/>
    </sheetView>
  </sheetViews>
  <sheetFormatPr defaultRowHeight="15"/>
  <cols>
    <col min="1" max="1" width="17.7109375" bestFit="1" customWidth="1"/>
    <col min="2" max="2" width="12.7109375" bestFit="1" customWidth="1"/>
    <col min="3" max="3" width="12.28515625" bestFit="1" customWidth="1"/>
    <col min="5" max="5" width="36.5703125" bestFit="1" customWidth="1"/>
    <col min="7" max="7" width="16.42578125" bestFit="1" customWidth="1"/>
    <col min="8" max="8" width="12.85546875" bestFit="1" customWidth="1"/>
    <col min="9" max="9" width="12.7109375" bestFit="1" customWidth="1"/>
    <col min="10" max="10" width="11.85546875" bestFit="1" customWidth="1"/>
  </cols>
  <sheetData>
    <row r="2" spans="1:10" ht="30.75">
      <c r="E2" s="189" t="s">
        <v>106</v>
      </c>
    </row>
    <row r="4" spans="1:10">
      <c r="A4" s="196" t="s">
        <v>107</v>
      </c>
      <c r="B4" s="196" t="s">
        <v>108</v>
      </c>
      <c r="C4" s="196" t="s">
        <v>109</v>
      </c>
    </row>
    <row r="5" spans="1:10">
      <c r="A5" s="190" t="s">
        <v>110</v>
      </c>
      <c r="B5" s="190">
        <v>19</v>
      </c>
      <c r="C5" s="192">
        <v>6.2562966999999997E-2</v>
      </c>
      <c r="J5" s="134"/>
    </row>
    <row r="6" spans="1:10">
      <c r="A6" s="190" t="s">
        <v>111</v>
      </c>
      <c r="B6" s="190">
        <v>10</v>
      </c>
      <c r="C6" s="192">
        <v>3.6819070000000002E-2</v>
      </c>
    </row>
    <row r="7" spans="1:10">
      <c r="A7" s="190" t="s">
        <v>112</v>
      </c>
      <c r="B7" s="190">
        <v>6</v>
      </c>
      <c r="C7" s="192">
        <v>1.3646035000000001E-2</v>
      </c>
    </row>
    <row r="8" spans="1:10">
      <c r="A8" s="190" t="s">
        <v>113</v>
      </c>
      <c r="B8" s="190">
        <v>2</v>
      </c>
      <c r="C8" s="192">
        <v>0.80033375799999995</v>
      </c>
    </row>
    <row r="9" spans="1:10">
      <c r="A9" s="190" t="s">
        <v>114</v>
      </c>
      <c r="B9" s="190">
        <v>5</v>
      </c>
      <c r="C9" s="192">
        <v>3.5328448620000001</v>
      </c>
    </row>
    <row r="10" spans="1:10">
      <c r="A10" s="190" t="s">
        <v>115</v>
      </c>
      <c r="B10" s="190">
        <v>2</v>
      </c>
      <c r="C10" s="192">
        <v>0.36694950700000001</v>
      </c>
    </row>
    <row r="11" spans="1:10">
      <c r="C11" s="130"/>
    </row>
    <row r="17" spans="1:10" ht="30.75">
      <c r="E17" s="189" t="s">
        <v>116</v>
      </c>
    </row>
    <row r="19" spans="1:10">
      <c r="A19" s="196" t="s">
        <v>117</v>
      </c>
      <c r="B19" s="196" t="s">
        <v>118</v>
      </c>
      <c r="C19" s="197" t="s">
        <v>109</v>
      </c>
    </row>
    <row r="20" spans="1:10">
      <c r="A20" s="190" t="s">
        <v>119</v>
      </c>
      <c r="B20" s="191">
        <v>40</v>
      </c>
      <c r="C20" s="192">
        <v>1.0032205300000001</v>
      </c>
    </row>
    <row r="21" spans="1:10">
      <c r="A21" s="190" t="s">
        <v>120</v>
      </c>
      <c r="B21" s="190">
        <v>18</v>
      </c>
      <c r="C21" s="192">
        <v>0.25333578200000001</v>
      </c>
      <c r="H21" s="134"/>
    </row>
    <row r="22" spans="1:10">
      <c r="A22" s="190" t="s">
        <v>121</v>
      </c>
      <c r="B22" s="190">
        <v>10</v>
      </c>
      <c r="C22" s="192">
        <v>0.341788127</v>
      </c>
    </row>
    <row r="23" spans="1:10">
      <c r="A23" s="190" t="s">
        <v>122</v>
      </c>
      <c r="B23" s="190">
        <v>7</v>
      </c>
      <c r="C23" s="192">
        <v>2.6751370000000002E-3</v>
      </c>
      <c r="G23" s="134"/>
      <c r="I23" s="134"/>
      <c r="J23" s="134"/>
    </row>
    <row r="24" spans="1:10">
      <c r="A24" s="190" t="s">
        <v>123</v>
      </c>
      <c r="B24" s="190">
        <v>2</v>
      </c>
      <c r="C24" s="192">
        <v>1.1806171029999999</v>
      </c>
    </row>
    <row r="25" spans="1:10">
      <c r="A25" s="190" t="s">
        <v>124</v>
      </c>
      <c r="B25" s="190">
        <v>3</v>
      </c>
      <c r="C25" s="192">
        <v>9.3839904000000002E-2</v>
      </c>
    </row>
    <row r="26" spans="1:10">
      <c r="A26" s="190" t="s">
        <v>125</v>
      </c>
      <c r="B26" s="190">
        <v>3</v>
      </c>
      <c r="C26" s="192">
        <v>1.523609013</v>
      </c>
    </row>
    <row r="27" spans="1:10">
      <c r="A27" s="190" t="s">
        <v>126</v>
      </c>
      <c r="B27" s="190">
        <v>0</v>
      </c>
      <c r="C27" s="192">
        <v>0.885593085</v>
      </c>
    </row>
    <row r="28" spans="1:10">
      <c r="A28" s="190" t="s">
        <v>127</v>
      </c>
      <c r="B28" s="190">
        <v>1</v>
      </c>
      <c r="C28" s="192">
        <v>0.42821784699999998</v>
      </c>
    </row>
    <row r="34" spans="1:10" ht="30.75">
      <c r="E34" s="189" t="s">
        <v>128</v>
      </c>
    </row>
    <row r="36" spans="1:10">
      <c r="A36" s="196" t="s">
        <v>117</v>
      </c>
      <c r="B36" s="196" t="s">
        <v>129</v>
      </c>
      <c r="C36" s="196" t="s">
        <v>109</v>
      </c>
    </row>
    <row r="37" spans="1:10">
      <c r="A37" s="190" t="s">
        <v>119</v>
      </c>
      <c r="B37" s="190">
        <v>17</v>
      </c>
      <c r="C37" s="192">
        <v>4.4839839999999999E-3</v>
      </c>
    </row>
    <row r="38" spans="1:10">
      <c r="A38" s="190" t="s">
        <v>120</v>
      </c>
      <c r="B38" s="190">
        <v>12</v>
      </c>
      <c r="C38" s="192">
        <v>0.25693217200000001</v>
      </c>
    </row>
    <row r="39" spans="1:10">
      <c r="A39" s="190" t="s">
        <v>121</v>
      </c>
      <c r="B39" s="190">
        <v>7</v>
      </c>
      <c r="C39" s="192">
        <v>5.1154011999999999E-2</v>
      </c>
    </row>
    <row r="40" spans="1:10">
      <c r="A40" s="190" t="s">
        <v>122</v>
      </c>
      <c r="B40" s="190">
        <v>3</v>
      </c>
      <c r="C40" s="192">
        <v>0.24287017499999999</v>
      </c>
    </row>
    <row r="41" spans="1:10">
      <c r="A41" s="190" t="s">
        <v>123</v>
      </c>
      <c r="B41" s="190">
        <v>2</v>
      </c>
      <c r="C41" s="192">
        <v>8.9187629000000004E-2</v>
      </c>
      <c r="J41" s="135"/>
    </row>
    <row r="42" spans="1:10">
      <c r="A42" s="190" t="s">
        <v>124</v>
      </c>
      <c r="B42" s="190">
        <v>1</v>
      </c>
      <c r="C42" s="192">
        <v>0.18394606199999999</v>
      </c>
    </row>
    <row r="43" spans="1:10">
      <c r="A43" s="190" t="s">
        <v>125</v>
      </c>
      <c r="B43" s="190">
        <v>1</v>
      </c>
      <c r="C43" s="192">
        <v>2.7666090000000002E-3</v>
      </c>
    </row>
    <row r="44" spans="1:10">
      <c r="A44" s="190" t="s">
        <v>126</v>
      </c>
      <c r="B44" s="190">
        <v>0</v>
      </c>
      <c r="C44" s="192">
        <v>0.28848563500000002</v>
      </c>
    </row>
    <row r="55" spans="1:5">
      <c r="E55" s="189" t="s">
        <v>130</v>
      </c>
    </row>
    <row r="57" spans="1:5">
      <c r="A57" s="198" t="s">
        <v>117</v>
      </c>
      <c r="B57" s="198" t="s">
        <v>129</v>
      </c>
      <c r="C57" s="198" t="s">
        <v>131</v>
      </c>
    </row>
    <row r="58" spans="1:5">
      <c r="A58" s="192" t="s">
        <v>29</v>
      </c>
      <c r="B58" s="193">
        <v>77</v>
      </c>
      <c r="C58" s="191">
        <v>0.91189482399999999</v>
      </c>
    </row>
    <row r="59" spans="1:5">
      <c r="A59" s="194" t="s">
        <v>30</v>
      </c>
      <c r="B59" s="193">
        <v>40</v>
      </c>
      <c r="C59" s="190">
        <v>5.3700240000000003E-2</v>
      </c>
    </row>
    <row r="60" spans="1:5">
      <c r="A60" s="192" t="s">
        <v>31</v>
      </c>
      <c r="B60" s="193">
        <v>23</v>
      </c>
      <c r="C60" s="190">
        <v>0.14915062900000001</v>
      </c>
    </row>
    <row r="61" spans="1:5">
      <c r="A61" s="192" t="s">
        <v>32</v>
      </c>
      <c r="B61" s="193">
        <v>13</v>
      </c>
      <c r="C61" s="190">
        <v>0.26085155399999999</v>
      </c>
    </row>
    <row r="62" spans="1:5">
      <c r="A62" s="194" t="s">
        <v>33</v>
      </c>
      <c r="B62" s="193">
        <v>9</v>
      </c>
      <c r="C62" s="195">
        <v>5.9658299999999999E-7</v>
      </c>
    </row>
    <row r="63" spans="1:5">
      <c r="A63" s="192" t="s">
        <v>34</v>
      </c>
      <c r="B63" s="193">
        <v>6</v>
      </c>
      <c r="C63" s="190">
        <v>6.5341658999999996E-2</v>
      </c>
    </row>
    <row r="64" spans="1:5">
      <c r="A64" s="192" t="s">
        <v>78</v>
      </c>
      <c r="B64" s="193">
        <v>4</v>
      </c>
      <c r="C64" s="190">
        <v>0.17428627199999999</v>
      </c>
    </row>
    <row r="65" spans="1:5">
      <c r="A65" s="192" t="s">
        <v>71</v>
      </c>
      <c r="B65" s="193">
        <v>1</v>
      </c>
      <c r="C65" s="190">
        <v>0.46366489</v>
      </c>
    </row>
    <row r="66" spans="1:5">
      <c r="A66" s="192" t="s">
        <v>72</v>
      </c>
      <c r="B66" s="192">
        <v>1</v>
      </c>
      <c r="C66" s="190">
        <v>2.5302306E-2</v>
      </c>
    </row>
    <row r="73" spans="1:5">
      <c r="A73" s="198" t="s">
        <v>117</v>
      </c>
      <c r="B73" s="198" t="s">
        <v>129</v>
      </c>
      <c r="C73" s="198" t="s">
        <v>131</v>
      </c>
    </row>
    <row r="74" spans="1:5">
      <c r="A74" s="192" t="s">
        <v>29</v>
      </c>
      <c r="B74" s="57">
        <v>78</v>
      </c>
      <c r="C74" s="191">
        <v>2.0243433209999999</v>
      </c>
      <c r="E74" s="201" t="s">
        <v>132</v>
      </c>
    </row>
    <row r="75" spans="1:5">
      <c r="A75" s="194" t="s">
        <v>30</v>
      </c>
      <c r="B75" s="57">
        <v>36</v>
      </c>
      <c r="C75" s="190">
        <v>0.59065165200000003</v>
      </c>
    </row>
    <row r="76" spans="1:5">
      <c r="A76" s="192" t="s">
        <v>31</v>
      </c>
      <c r="B76" s="57">
        <v>18</v>
      </c>
      <c r="C76" s="190">
        <v>2.0622784599999999</v>
      </c>
    </row>
    <row r="77" spans="1:5">
      <c r="A77" s="192" t="s">
        <v>32</v>
      </c>
      <c r="B77" s="57">
        <v>15</v>
      </c>
      <c r="C77" s="190">
        <v>1.8322413999999999E-2</v>
      </c>
    </row>
    <row r="78" spans="1:5">
      <c r="A78" s="194" t="s">
        <v>33</v>
      </c>
      <c r="B78" s="57">
        <v>12</v>
      </c>
      <c r="C78" s="195">
        <v>0.61645466999999998</v>
      </c>
    </row>
    <row r="79" spans="1:5">
      <c r="A79" s="192" t="s">
        <v>34</v>
      </c>
      <c r="B79" s="57">
        <v>7</v>
      </c>
      <c r="C79" s="190">
        <v>0.20623370799999999</v>
      </c>
    </row>
    <row r="80" spans="1:5">
      <c r="A80" s="192" t="s">
        <v>35</v>
      </c>
      <c r="B80" s="57">
        <v>2</v>
      </c>
      <c r="C80" s="190">
        <v>0.734411072</v>
      </c>
    </row>
    <row r="81" spans="1:3">
      <c r="A81" s="192" t="s">
        <v>49</v>
      </c>
      <c r="B81" s="57">
        <v>3</v>
      </c>
      <c r="C81" s="190">
        <v>0.258788831</v>
      </c>
    </row>
    <row r="82" spans="1:3">
      <c r="A82" s="202" t="s">
        <v>50</v>
      </c>
      <c r="B82" s="55">
        <v>0</v>
      </c>
      <c r="C82" s="203">
        <v>1.3794581749999999</v>
      </c>
    </row>
    <row r="83" spans="1:3">
      <c r="A83" s="204" t="s">
        <v>73</v>
      </c>
      <c r="B83" s="55">
        <v>2</v>
      </c>
      <c r="C83" s="190">
        <v>1.556082009</v>
      </c>
    </row>
  </sheetData>
  <printOptions verticalCentered="1"/>
  <pageMargins left="0.7" right="0.7" top="0.75" bottom="0.75" header="0.3" footer="0.3"/>
  <pageSetup paperSize="8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8630-B184-4B0C-A8DF-CCC88B7864F3}">
  <sheetPr>
    <pageSetUpPr fitToPage="1"/>
  </sheetPr>
  <dimension ref="A1:H179"/>
  <sheetViews>
    <sheetView workbookViewId="0">
      <selection activeCell="J3" sqref="J3"/>
    </sheetView>
  </sheetViews>
  <sheetFormatPr defaultRowHeight="15"/>
  <cols>
    <col min="1" max="1" width="9.140625" style="181"/>
    <col min="2" max="2" width="13.140625" style="181" bestFit="1" customWidth="1"/>
    <col min="3" max="3" width="14.42578125" style="181" customWidth="1"/>
    <col min="4" max="4" width="19.140625" style="181" customWidth="1"/>
    <col min="5" max="5" width="18.85546875" style="181" customWidth="1"/>
    <col min="7" max="7" width="18" customWidth="1"/>
    <col min="10" max="10" width="13.85546875" customWidth="1"/>
    <col min="13" max="13" width="18.7109375" bestFit="1" customWidth="1"/>
    <col min="14" max="14" width="9.42578125" customWidth="1"/>
  </cols>
  <sheetData>
    <row r="1" spans="1:8">
      <c r="A1" s="184" t="s">
        <v>133</v>
      </c>
      <c r="B1" s="179" t="s">
        <v>134</v>
      </c>
      <c r="C1" s="179" t="s">
        <v>1</v>
      </c>
      <c r="D1" s="180" t="s">
        <v>135</v>
      </c>
      <c r="E1" s="180" t="s">
        <v>136</v>
      </c>
      <c r="F1" s="130"/>
      <c r="G1" s="130"/>
      <c r="H1" s="130"/>
    </row>
    <row r="2" spans="1:8">
      <c r="D2" s="178" t="s">
        <v>137</v>
      </c>
      <c r="E2" s="177" t="s">
        <v>138</v>
      </c>
      <c r="F2" s="130"/>
      <c r="G2" s="188" t="s">
        <v>139</v>
      </c>
      <c r="H2" s="185">
        <f>COUNTA($B$3:$B$176)</f>
        <v>174</v>
      </c>
    </row>
    <row r="3" spans="1:8">
      <c r="A3" s="181">
        <v>1</v>
      </c>
      <c r="B3" s="181">
        <v>1</v>
      </c>
      <c r="C3" s="181">
        <v>0</v>
      </c>
      <c r="D3" s="181">
        <f>ROW(B3)/175</f>
        <v>1.7142857142857144E-2</v>
      </c>
      <c r="E3" s="182">
        <f>1-EXP(-$H$3 * C3)</f>
        <v>0</v>
      </c>
      <c r="G3" s="186" t="s">
        <v>140</v>
      </c>
      <c r="H3" s="187">
        <f>ROUND(1/AVERAGE($B$3:$B$176), 3)</f>
        <v>0.255</v>
      </c>
    </row>
    <row r="4" spans="1:8">
      <c r="A4" s="181">
        <v>2</v>
      </c>
      <c r="B4" s="181">
        <v>4</v>
      </c>
      <c r="C4" s="181">
        <v>0</v>
      </c>
      <c r="D4" s="181">
        <f t="shared" ref="D4:D67" si="0">ROW(B4)/175</f>
        <v>2.2857142857142857E-2</v>
      </c>
      <c r="E4" s="182">
        <f t="shared" ref="E4:E67" si="1">1-EXP(-$H$3 * C4)</f>
        <v>0</v>
      </c>
    </row>
    <row r="5" spans="1:8">
      <c r="A5" s="181">
        <v>3</v>
      </c>
      <c r="B5" s="181">
        <v>2</v>
      </c>
      <c r="C5" s="181">
        <v>0</v>
      </c>
      <c r="D5" s="181">
        <f t="shared" si="0"/>
        <v>2.8571428571428571E-2</v>
      </c>
      <c r="E5" s="182">
        <f>1-EXP(-$H$3 * C5)</f>
        <v>0</v>
      </c>
    </row>
    <row r="6" spans="1:8">
      <c r="A6" s="181">
        <v>4</v>
      </c>
      <c r="B6" s="181">
        <v>11</v>
      </c>
      <c r="C6" s="181">
        <v>0</v>
      </c>
      <c r="D6" s="181">
        <f t="shared" si="0"/>
        <v>3.4285714285714287E-2</v>
      </c>
      <c r="E6" s="182">
        <f>1-EXP(-$H$3 * C6)</f>
        <v>0</v>
      </c>
    </row>
    <row r="7" spans="1:8">
      <c r="A7" s="181">
        <v>5</v>
      </c>
      <c r="B7" s="181">
        <v>0</v>
      </c>
      <c r="C7" s="181">
        <v>0</v>
      </c>
      <c r="D7" s="181">
        <f t="shared" si="0"/>
        <v>0.04</v>
      </c>
      <c r="E7" s="182">
        <f>1-EXP(-$H$3 * C7)</f>
        <v>0</v>
      </c>
    </row>
    <row r="8" spans="1:8">
      <c r="A8" s="181">
        <v>6</v>
      </c>
      <c r="B8" s="181">
        <v>2</v>
      </c>
      <c r="C8" s="181">
        <v>0</v>
      </c>
      <c r="D8" s="181">
        <f t="shared" si="0"/>
        <v>4.5714285714285714E-2</v>
      </c>
      <c r="E8" s="182">
        <f t="shared" si="1"/>
        <v>0</v>
      </c>
    </row>
    <row r="9" spans="1:8">
      <c r="A9" s="181">
        <v>7</v>
      </c>
      <c r="B9" s="181">
        <v>0</v>
      </c>
      <c r="C9" s="181">
        <v>0</v>
      </c>
      <c r="D9" s="181">
        <f t="shared" si="0"/>
        <v>5.1428571428571428E-2</v>
      </c>
      <c r="E9" s="182">
        <f t="shared" si="1"/>
        <v>0</v>
      </c>
    </row>
    <row r="10" spans="1:8">
      <c r="A10" s="181">
        <v>8</v>
      </c>
      <c r="B10" s="181">
        <v>11</v>
      </c>
      <c r="C10" s="181">
        <v>0</v>
      </c>
      <c r="D10" s="181">
        <f t="shared" si="0"/>
        <v>5.7142857142857141E-2</v>
      </c>
      <c r="E10" s="182">
        <f t="shared" si="1"/>
        <v>0</v>
      </c>
    </row>
    <row r="11" spans="1:8">
      <c r="A11" s="181">
        <v>9</v>
      </c>
      <c r="B11" s="181">
        <v>8</v>
      </c>
      <c r="C11" s="181">
        <v>0</v>
      </c>
      <c r="D11" s="181">
        <f t="shared" si="0"/>
        <v>6.2857142857142861E-2</v>
      </c>
      <c r="E11" s="182">
        <f t="shared" si="1"/>
        <v>0</v>
      </c>
    </row>
    <row r="12" spans="1:8">
      <c r="A12" s="181">
        <v>10</v>
      </c>
      <c r="B12" s="181">
        <v>1</v>
      </c>
      <c r="C12" s="181">
        <v>0</v>
      </c>
      <c r="D12" s="181">
        <f t="shared" si="0"/>
        <v>6.8571428571428575E-2</v>
      </c>
      <c r="E12" s="182">
        <f t="shared" si="1"/>
        <v>0</v>
      </c>
    </row>
    <row r="13" spans="1:8">
      <c r="A13" s="181">
        <v>11</v>
      </c>
      <c r="B13" s="181">
        <v>5</v>
      </c>
      <c r="C13" s="181">
        <v>0</v>
      </c>
      <c r="D13" s="181">
        <f t="shared" si="0"/>
        <v>7.4285714285714288E-2</v>
      </c>
      <c r="E13" s="182">
        <f t="shared" si="1"/>
        <v>0</v>
      </c>
    </row>
    <row r="14" spans="1:8">
      <c r="A14" s="181">
        <v>12</v>
      </c>
      <c r="B14" s="181">
        <v>7</v>
      </c>
      <c r="C14" s="181">
        <v>0</v>
      </c>
      <c r="D14" s="181">
        <f t="shared" si="0"/>
        <v>0.08</v>
      </c>
      <c r="E14" s="182">
        <f t="shared" si="1"/>
        <v>0</v>
      </c>
    </row>
    <row r="15" spans="1:8">
      <c r="A15" s="181">
        <v>13</v>
      </c>
      <c r="B15" s="181">
        <v>3</v>
      </c>
      <c r="C15" s="181">
        <v>0</v>
      </c>
      <c r="D15" s="181">
        <f t="shared" si="0"/>
        <v>8.5714285714285715E-2</v>
      </c>
      <c r="E15" s="182">
        <f t="shared" si="1"/>
        <v>0</v>
      </c>
    </row>
    <row r="16" spans="1:8">
      <c r="A16" s="181">
        <v>14</v>
      </c>
      <c r="B16" s="181">
        <v>3</v>
      </c>
      <c r="C16" s="181">
        <v>0</v>
      </c>
      <c r="D16" s="181">
        <f t="shared" si="0"/>
        <v>9.1428571428571428E-2</v>
      </c>
      <c r="E16" s="182">
        <f t="shared" si="1"/>
        <v>0</v>
      </c>
    </row>
    <row r="17" spans="1:5">
      <c r="A17" s="181">
        <v>15</v>
      </c>
      <c r="B17" s="181">
        <v>1</v>
      </c>
      <c r="C17" s="181">
        <v>0</v>
      </c>
      <c r="D17" s="181">
        <f t="shared" si="0"/>
        <v>9.7142857142857142E-2</v>
      </c>
      <c r="E17" s="182">
        <f t="shared" si="1"/>
        <v>0</v>
      </c>
    </row>
    <row r="18" spans="1:5">
      <c r="A18" s="181">
        <v>16</v>
      </c>
      <c r="B18" s="181">
        <v>0</v>
      </c>
      <c r="C18" s="181">
        <v>0</v>
      </c>
      <c r="D18" s="181">
        <f t="shared" si="0"/>
        <v>0.10285714285714286</v>
      </c>
      <c r="E18" s="182">
        <f t="shared" si="1"/>
        <v>0</v>
      </c>
    </row>
    <row r="19" spans="1:5">
      <c r="A19" s="181">
        <v>17</v>
      </c>
      <c r="B19" s="181">
        <v>9</v>
      </c>
      <c r="C19" s="181">
        <v>0</v>
      </c>
      <c r="D19" s="181">
        <f t="shared" si="0"/>
        <v>0.10857142857142857</v>
      </c>
      <c r="E19" s="182">
        <f t="shared" si="1"/>
        <v>0</v>
      </c>
    </row>
    <row r="20" spans="1:5">
      <c r="A20" s="181">
        <v>18</v>
      </c>
      <c r="B20" s="181">
        <v>10</v>
      </c>
      <c r="C20" s="181">
        <v>0</v>
      </c>
      <c r="D20" s="181">
        <f t="shared" si="0"/>
        <v>0.11428571428571428</v>
      </c>
      <c r="E20" s="182">
        <f t="shared" si="1"/>
        <v>0</v>
      </c>
    </row>
    <row r="21" spans="1:5">
      <c r="A21" s="181">
        <v>19</v>
      </c>
      <c r="B21" s="181">
        <v>4</v>
      </c>
      <c r="C21" s="181">
        <v>0</v>
      </c>
      <c r="D21" s="181">
        <f t="shared" si="0"/>
        <v>0.12</v>
      </c>
      <c r="E21" s="182">
        <f t="shared" si="1"/>
        <v>0</v>
      </c>
    </row>
    <row r="22" spans="1:5">
      <c r="A22" s="181">
        <v>20</v>
      </c>
      <c r="B22" s="181">
        <v>1</v>
      </c>
      <c r="C22" s="181">
        <v>0</v>
      </c>
      <c r="D22" s="181">
        <f t="shared" si="0"/>
        <v>0.12571428571428572</v>
      </c>
      <c r="E22" s="182">
        <f t="shared" si="1"/>
        <v>0</v>
      </c>
    </row>
    <row r="23" spans="1:5">
      <c r="A23" s="181">
        <v>21</v>
      </c>
      <c r="B23" s="181">
        <v>2</v>
      </c>
      <c r="C23" s="181">
        <v>0</v>
      </c>
      <c r="D23" s="181">
        <f t="shared" si="0"/>
        <v>0.13142857142857142</v>
      </c>
      <c r="E23" s="182">
        <f t="shared" si="1"/>
        <v>0</v>
      </c>
    </row>
    <row r="24" spans="1:5">
      <c r="A24" s="181">
        <v>22</v>
      </c>
      <c r="B24" s="181">
        <v>5</v>
      </c>
      <c r="C24" s="181">
        <v>0</v>
      </c>
      <c r="D24" s="181">
        <f t="shared" si="0"/>
        <v>0.13714285714285715</v>
      </c>
      <c r="E24" s="182">
        <f t="shared" si="1"/>
        <v>0</v>
      </c>
    </row>
    <row r="25" spans="1:5">
      <c r="A25" s="181">
        <v>23</v>
      </c>
      <c r="B25" s="181">
        <v>9</v>
      </c>
      <c r="C25" s="181">
        <v>0</v>
      </c>
      <c r="D25" s="181">
        <f t="shared" si="0"/>
        <v>0.14285714285714285</v>
      </c>
      <c r="E25" s="182">
        <f t="shared" si="1"/>
        <v>0</v>
      </c>
    </row>
    <row r="26" spans="1:5">
      <c r="A26" s="181">
        <v>24</v>
      </c>
      <c r="B26" s="181">
        <v>9</v>
      </c>
      <c r="C26" s="181">
        <v>1</v>
      </c>
      <c r="D26" s="181">
        <f t="shared" si="0"/>
        <v>0.14857142857142858</v>
      </c>
      <c r="E26" s="182">
        <f t="shared" si="1"/>
        <v>0.22508350203891903</v>
      </c>
    </row>
    <row r="27" spans="1:5">
      <c r="A27" s="181">
        <v>25</v>
      </c>
      <c r="B27" s="181">
        <v>6</v>
      </c>
      <c r="C27" s="181">
        <v>1</v>
      </c>
      <c r="D27" s="181">
        <f t="shared" si="0"/>
        <v>0.15428571428571428</v>
      </c>
      <c r="E27" s="182">
        <f t="shared" si="1"/>
        <v>0.22508350203891903</v>
      </c>
    </row>
    <row r="28" spans="1:5">
      <c r="A28" s="181">
        <v>26</v>
      </c>
      <c r="B28" s="181">
        <v>4</v>
      </c>
      <c r="C28" s="181">
        <v>1</v>
      </c>
      <c r="D28" s="181">
        <f t="shared" si="0"/>
        <v>0.16</v>
      </c>
      <c r="E28" s="182">
        <f t="shared" si="1"/>
        <v>0.22508350203891903</v>
      </c>
    </row>
    <row r="29" spans="1:5">
      <c r="A29" s="181">
        <v>27</v>
      </c>
      <c r="B29" s="181">
        <v>1</v>
      </c>
      <c r="C29" s="181">
        <v>1</v>
      </c>
      <c r="D29" s="181">
        <f t="shared" si="0"/>
        <v>0.1657142857142857</v>
      </c>
      <c r="E29" s="182">
        <f t="shared" si="1"/>
        <v>0.22508350203891903</v>
      </c>
    </row>
    <row r="30" spans="1:5">
      <c r="A30" s="181">
        <v>28</v>
      </c>
      <c r="B30" s="181">
        <v>0</v>
      </c>
      <c r="C30" s="181">
        <v>1</v>
      </c>
      <c r="D30" s="181">
        <f t="shared" si="0"/>
        <v>0.17142857142857143</v>
      </c>
      <c r="E30" s="182">
        <f t="shared" si="1"/>
        <v>0.22508350203891903</v>
      </c>
    </row>
    <row r="31" spans="1:5">
      <c r="A31" s="181">
        <v>29</v>
      </c>
      <c r="B31" s="181">
        <v>9</v>
      </c>
      <c r="C31" s="181">
        <v>1</v>
      </c>
      <c r="D31" s="181">
        <f t="shared" si="0"/>
        <v>0.17714285714285713</v>
      </c>
      <c r="E31" s="182">
        <f t="shared" si="1"/>
        <v>0.22508350203891903</v>
      </c>
    </row>
    <row r="32" spans="1:5">
      <c r="A32" s="181">
        <v>30</v>
      </c>
      <c r="B32" s="181">
        <v>4</v>
      </c>
      <c r="C32" s="181">
        <v>1</v>
      </c>
      <c r="D32" s="181">
        <f t="shared" si="0"/>
        <v>0.18285714285714286</v>
      </c>
      <c r="E32" s="182">
        <f t="shared" si="1"/>
        <v>0.22508350203891903</v>
      </c>
    </row>
    <row r="33" spans="1:5">
      <c r="A33" s="181">
        <v>31</v>
      </c>
      <c r="B33" s="181">
        <v>0</v>
      </c>
      <c r="C33" s="181">
        <v>1</v>
      </c>
      <c r="D33" s="181">
        <f t="shared" si="0"/>
        <v>0.18857142857142858</v>
      </c>
      <c r="E33" s="182">
        <f t="shared" si="1"/>
        <v>0.22508350203891903</v>
      </c>
    </row>
    <row r="34" spans="1:5">
      <c r="A34" s="181">
        <v>32</v>
      </c>
      <c r="B34" s="181">
        <v>1</v>
      </c>
      <c r="C34" s="181">
        <v>1</v>
      </c>
      <c r="D34" s="181">
        <f t="shared" si="0"/>
        <v>0.19428571428571428</v>
      </c>
      <c r="E34" s="182">
        <f t="shared" si="1"/>
        <v>0.22508350203891903</v>
      </c>
    </row>
    <row r="35" spans="1:5">
      <c r="A35" s="181">
        <v>33</v>
      </c>
      <c r="B35" s="181">
        <v>4</v>
      </c>
      <c r="C35" s="181">
        <v>1</v>
      </c>
      <c r="D35" s="181">
        <f t="shared" si="0"/>
        <v>0.2</v>
      </c>
      <c r="E35" s="182">
        <f t="shared" si="1"/>
        <v>0.22508350203891903</v>
      </c>
    </row>
    <row r="36" spans="1:5">
      <c r="A36" s="181">
        <v>34</v>
      </c>
      <c r="B36" s="181">
        <v>0</v>
      </c>
      <c r="C36" s="181">
        <v>1</v>
      </c>
      <c r="D36" s="181">
        <f t="shared" si="0"/>
        <v>0.20571428571428571</v>
      </c>
      <c r="E36" s="182">
        <f t="shared" si="1"/>
        <v>0.22508350203891903</v>
      </c>
    </row>
    <row r="37" spans="1:5">
      <c r="A37" s="181">
        <v>35</v>
      </c>
      <c r="B37" s="181">
        <v>1</v>
      </c>
      <c r="C37" s="181">
        <v>1</v>
      </c>
      <c r="D37" s="181">
        <f t="shared" si="0"/>
        <v>0.21142857142857144</v>
      </c>
      <c r="E37" s="182">
        <f t="shared" si="1"/>
        <v>0.22508350203891903</v>
      </c>
    </row>
    <row r="38" spans="1:5">
      <c r="A38" s="181">
        <v>36</v>
      </c>
      <c r="B38" s="181">
        <v>3</v>
      </c>
      <c r="C38" s="181">
        <v>1</v>
      </c>
      <c r="D38" s="181">
        <f t="shared" si="0"/>
        <v>0.21714285714285714</v>
      </c>
      <c r="E38" s="182">
        <f t="shared" si="1"/>
        <v>0.22508350203891903</v>
      </c>
    </row>
    <row r="39" spans="1:5">
      <c r="A39" s="181">
        <v>37</v>
      </c>
      <c r="B39" s="181">
        <v>5</v>
      </c>
      <c r="C39" s="181">
        <v>1</v>
      </c>
      <c r="D39" s="181">
        <f t="shared" si="0"/>
        <v>0.22285714285714286</v>
      </c>
      <c r="E39" s="182">
        <f t="shared" si="1"/>
        <v>0.22508350203891903</v>
      </c>
    </row>
    <row r="40" spans="1:5">
      <c r="A40" s="181">
        <v>38</v>
      </c>
      <c r="B40" s="181">
        <v>4</v>
      </c>
      <c r="C40" s="181">
        <v>1</v>
      </c>
      <c r="D40" s="181">
        <f t="shared" si="0"/>
        <v>0.22857142857142856</v>
      </c>
      <c r="E40" s="182">
        <f t="shared" si="1"/>
        <v>0.22508350203891903</v>
      </c>
    </row>
    <row r="41" spans="1:5">
      <c r="A41" s="181">
        <v>39</v>
      </c>
      <c r="B41" s="181">
        <v>1</v>
      </c>
      <c r="C41" s="181">
        <v>1</v>
      </c>
      <c r="D41" s="181">
        <f t="shared" si="0"/>
        <v>0.23428571428571429</v>
      </c>
      <c r="E41" s="182">
        <f t="shared" si="1"/>
        <v>0.22508350203891903</v>
      </c>
    </row>
    <row r="42" spans="1:5">
      <c r="A42" s="181">
        <v>40</v>
      </c>
      <c r="B42" s="181">
        <v>5</v>
      </c>
      <c r="C42" s="181">
        <v>1</v>
      </c>
      <c r="D42" s="181">
        <f t="shared" si="0"/>
        <v>0.24</v>
      </c>
      <c r="E42" s="182">
        <f t="shared" si="1"/>
        <v>0.22508350203891903</v>
      </c>
    </row>
    <row r="43" spans="1:5">
      <c r="A43" s="181">
        <v>41</v>
      </c>
      <c r="B43" s="181">
        <v>1</v>
      </c>
      <c r="C43" s="181">
        <v>1</v>
      </c>
      <c r="D43" s="181">
        <f t="shared" si="0"/>
        <v>0.24571428571428572</v>
      </c>
      <c r="E43" s="182">
        <f t="shared" si="1"/>
        <v>0.22508350203891903</v>
      </c>
    </row>
    <row r="44" spans="1:5">
      <c r="A44" s="181">
        <v>42</v>
      </c>
      <c r="B44" s="181">
        <v>1</v>
      </c>
      <c r="C44" s="181">
        <v>1</v>
      </c>
      <c r="D44" s="181">
        <f t="shared" si="0"/>
        <v>0.25142857142857145</v>
      </c>
      <c r="E44" s="182">
        <f t="shared" si="1"/>
        <v>0.22508350203891903</v>
      </c>
    </row>
    <row r="45" spans="1:5">
      <c r="A45" s="181">
        <v>43</v>
      </c>
      <c r="B45" s="181">
        <v>6</v>
      </c>
      <c r="C45" s="181">
        <v>1</v>
      </c>
      <c r="D45" s="181">
        <f t="shared" si="0"/>
        <v>0.25714285714285712</v>
      </c>
      <c r="E45" s="182">
        <f t="shared" si="1"/>
        <v>0.22508350203891903</v>
      </c>
    </row>
    <row r="46" spans="1:5">
      <c r="A46" s="181">
        <v>44</v>
      </c>
      <c r="B46" s="181">
        <v>4</v>
      </c>
      <c r="C46" s="181">
        <v>1</v>
      </c>
      <c r="D46" s="181">
        <f t="shared" si="0"/>
        <v>0.26285714285714284</v>
      </c>
      <c r="E46" s="182">
        <f t="shared" si="1"/>
        <v>0.22508350203891903</v>
      </c>
    </row>
    <row r="47" spans="1:5">
      <c r="A47" s="181">
        <v>45</v>
      </c>
      <c r="B47" s="181">
        <v>8</v>
      </c>
      <c r="C47" s="181">
        <v>1</v>
      </c>
      <c r="D47" s="181">
        <f t="shared" si="0"/>
        <v>0.26857142857142857</v>
      </c>
      <c r="E47" s="182">
        <f t="shared" si="1"/>
        <v>0.22508350203891903</v>
      </c>
    </row>
    <row r="48" spans="1:5">
      <c r="A48" s="181">
        <v>46</v>
      </c>
      <c r="B48" s="181">
        <v>4</v>
      </c>
      <c r="C48" s="181">
        <v>1</v>
      </c>
      <c r="D48" s="181">
        <f t="shared" si="0"/>
        <v>0.2742857142857143</v>
      </c>
      <c r="E48" s="182">
        <f t="shared" si="1"/>
        <v>0.22508350203891903</v>
      </c>
    </row>
    <row r="49" spans="1:5">
      <c r="A49" s="181">
        <v>47</v>
      </c>
      <c r="B49" s="181">
        <v>3</v>
      </c>
      <c r="C49" s="181">
        <v>1</v>
      </c>
      <c r="D49" s="181">
        <f t="shared" si="0"/>
        <v>0.28000000000000003</v>
      </c>
      <c r="E49" s="182">
        <f t="shared" si="1"/>
        <v>0.22508350203891903</v>
      </c>
    </row>
    <row r="50" spans="1:5">
      <c r="A50" s="181">
        <v>48</v>
      </c>
      <c r="B50" s="181">
        <v>0</v>
      </c>
      <c r="C50" s="181">
        <v>1</v>
      </c>
      <c r="D50" s="181">
        <f t="shared" si="0"/>
        <v>0.2857142857142857</v>
      </c>
      <c r="E50" s="182">
        <f t="shared" si="1"/>
        <v>0.22508350203891903</v>
      </c>
    </row>
    <row r="51" spans="1:5">
      <c r="A51" s="181">
        <v>49</v>
      </c>
      <c r="B51" s="181">
        <v>2</v>
      </c>
      <c r="C51" s="181">
        <v>1</v>
      </c>
      <c r="D51" s="181">
        <f t="shared" si="0"/>
        <v>0.29142857142857143</v>
      </c>
      <c r="E51" s="182">
        <f t="shared" si="1"/>
        <v>0.22508350203891903</v>
      </c>
    </row>
    <row r="52" spans="1:5">
      <c r="A52" s="181">
        <v>50</v>
      </c>
      <c r="B52" s="181">
        <v>2</v>
      </c>
      <c r="C52" s="181">
        <v>1</v>
      </c>
      <c r="D52" s="181">
        <f t="shared" si="0"/>
        <v>0.29714285714285715</v>
      </c>
      <c r="E52" s="182">
        <f t="shared" si="1"/>
        <v>0.22508350203891903</v>
      </c>
    </row>
    <row r="53" spans="1:5">
      <c r="A53" s="181">
        <v>51</v>
      </c>
      <c r="B53" s="181">
        <v>1</v>
      </c>
      <c r="C53" s="181">
        <v>2</v>
      </c>
      <c r="D53" s="181">
        <f t="shared" si="0"/>
        <v>0.30285714285714288</v>
      </c>
      <c r="E53" s="182">
        <f t="shared" si="1"/>
        <v>0.3995044211877341</v>
      </c>
    </row>
    <row r="54" spans="1:5">
      <c r="A54" s="181">
        <v>52</v>
      </c>
      <c r="B54" s="181">
        <v>14</v>
      </c>
      <c r="C54" s="181">
        <v>2</v>
      </c>
      <c r="D54" s="181">
        <f t="shared" si="0"/>
        <v>0.30857142857142855</v>
      </c>
      <c r="E54" s="182">
        <f t="shared" si="1"/>
        <v>0.3995044211877341</v>
      </c>
    </row>
    <row r="55" spans="1:5">
      <c r="A55" s="181">
        <v>53</v>
      </c>
      <c r="B55" s="181">
        <v>2</v>
      </c>
      <c r="C55" s="181">
        <v>2</v>
      </c>
      <c r="D55" s="181">
        <f t="shared" si="0"/>
        <v>0.31428571428571428</v>
      </c>
      <c r="E55" s="182">
        <f t="shared" si="1"/>
        <v>0.3995044211877341</v>
      </c>
    </row>
    <row r="56" spans="1:5">
      <c r="A56" s="181">
        <v>54</v>
      </c>
      <c r="B56" s="181">
        <v>8</v>
      </c>
      <c r="C56" s="181">
        <v>2</v>
      </c>
      <c r="D56" s="181">
        <f t="shared" si="0"/>
        <v>0.32</v>
      </c>
      <c r="E56" s="182">
        <f t="shared" si="1"/>
        <v>0.3995044211877341</v>
      </c>
    </row>
    <row r="57" spans="1:5">
      <c r="A57" s="181">
        <v>55</v>
      </c>
      <c r="B57" s="181">
        <v>4</v>
      </c>
      <c r="C57" s="181">
        <v>2</v>
      </c>
      <c r="D57" s="181">
        <f t="shared" si="0"/>
        <v>0.32571428571428573</v>
      </c>
      <c r="E57" s="182">
        <f t="shared" si="1"/>
        <v>0.3995044211877341</v>
      </c>
    </row>
    <row r="58" spans="1:5">
      <c r="A58" s="181">
        <v>56</v>
      </c>
      <c r="B58" s="181">
        <v>6</v>
      </c>
      <c r="C58" s="181">
        <v>2</v>
      </c>
      <c r="D58" s="181">
        <f t="shared" si="0"/>
        <v>0.33142857142857141</v>
      </c>
      <c r="E58" s="182">
        <f t="shared" si="1"/>
        <v>0.3995044211877341</v>
      </c>
    </row>
    <row r="59" spans="1:5">
      <c r="A59" s="181">
        <v>57</v>
      </c>
      <c r="B59" s="181">
        <v>2</v>
      </c>
      <c r="C59" s="181">
        <v>2</v>
      </c>
      <c r="D59" s="181">
        <f t="shared" si="0"/>
        <v>0.33714285714285713</v>
      </c>
      <c r="E59" s="182">
        <f t="shared" si="1"/>
        <v>0.3995044211877341</v>
      </c>
    </row>
    <row r="60" spans="1:5">
      <c r="A60" s="181">
        <v>58</v>
      </c>
      <c r="B60" s="181">
        <v>4</v>
      </c>
      <c r="C60" s="181">
        <v>2</v>
      </c>
      <c r="D60" s="181">
        <f t="shared" si="0"/>
        <v>0.34285714285714286</v>
      </c>
      <c r="E60" s="182">
        <f t="shared" si="1"/>
        <v>0.3995044211877341</v>
      </c>
    </row>
    <row r="61" spans="1:5">
      <c r="A61" s="181">
        <v>59</v>
      </c>
      <c r="B61" s="181">
        <v>3</v>
      </c>
      <c r="C61" s="181">
        <v>2</v>
      </c>
      <c r="D61" s="181">
        <f t="shared" si="0"/>
        <v>0.34857142857142859</v>
      </c>
      <c r="E61" s="182">
        <f t="shared" si="1"/>
        <v>0.3995044211877341</v>
      </c>
    </row>
    <row r="62" spans="1:5">
      <c r="A62" s="181">
        <v>60</v>
      </c>
      <c r="B62" s="181">
        <v>1</v>
      </c>
      <c r="C62" s="181">
        <v>2</v>
      </c>
      <c r="D62" s="181">
        <f t="shared" si="0"/>
        <v>0.35428571428571426</v>
      </c>
      <c r="E62" s="182">
        <f t="shared" si="1"/>
        <v>0.3995044211877341</v>
      </c>
    </row>
    <row r="63" spans="1:5">
      <c r="A63" s="181">
        <v>61</v>
      </c>
      <c r="B63" s="181">
        <v>5</v>
      </c>
      <c r="C63" s="181">
        <v>2</v>
      </c>
      <c r="D63" s="181">
        <f t="shared" si="0"/>
        <v>0.36</v>
      </c>
      <c r="E63" s="182">
        <f t="shared" si="1"/>
        <v>0.3995044211877341</v>
      </c>
    </row>
    <row r="64" spans="1:5">
      <c r="A64" s="181">
        <v>62</v>
      </c>
      <c r="B64" s="181">
        <v>1</v>
      </c>
      <c r="C64" s="181">
        <v>2</v>
      </c>
      <c r="D64" s="181">
        <f t="shared" si="0"/>
        <v>0.36571428571428571</v>
      </c>
      <c r="E64" s="182">
        <f t="shared" si="1"/>
        <v>0.3995044211877341</v>
      </c>
    </row>
    <row r="65" spans="1:5">
      <c r="A65" s="181">
        <v>63</v>
      </c>
      <c r="B65" s="181">
        <v>0</v>
      </c>
      <c r="C65" s="181">
        <v>2</v>
      </c>
      <c r="D65" s="181">
        <f t="shared" si="0"/>
        <v>0.37142857142857144</v>
      </c>
      <c r="E65" s="182">
        <f t="shared" si="1"/>
        <v>0.3995044211877341</v>
      </c>
    </row>
    <row r="66" spans="1:5">
      <c r="A66" s="181">
        <v>64</v>
      </c>
      <c r="B66" s="181">
        <v>4</v>
      </c>
      <c r="C66" s="181">
        <v>2</v>
      </c>
      <c r="D66" s="181">
        <f t="shared" si="0"/>
        <v>0.37714285714285717</v>
      </c>
      <c r="E66" s="182">
        <f t="shared" si="1"/>
        <v>0.3995044211877341</v>
      </c>
    </row>
    <row r="67" spans="1:5">
      <c r="A67" s="181">
        <v>65</v>
      </c>
      <c r="B67" s="181">
        <v>0</v>
      </c>
      <c r="C67" s="181">
        <v>2</v>
      </c>
      <c r="D67" s="181">
        <f t="shared" si="0"/>
        <v>0.38285714285714284</v>
      </c>
      <c r="E67" s="182">
        <f t="shared" si="1"/>
        <v>0.3995044211877341</v>
      </c>
    </row>
    <row r="68" spans="1:5">
      <c r="A68" s="181">
        <v>66</v>
      </c>
      <c r="B68" s="181">
        <v>11</v>
      </c>
      <c r="C68" s="181">
        <v>2</v>
      </c>
      <c r="D68" s="181">
        <f t="shared" ref="D68:D131" si="2">ROW(B68)/175</f>
        <v>0.38857142857142857</v>
      </c>
      <c r="E68" s="182">
        <f t="shared" ref="E68:E131" si="3">1-EXP(-$H$3 * C68)</f>
        <v>0.3995044211877341</v>
      </c>
    </row>
    <row r="69" spans="1:5">
      <c r="A69" s="181">
        <v>67</v>
      </c>
      <c r="B69" s="181">
        <v>12</v>
      </c>
      <c r="C69" s="181">
        <v>2</v>
      </c>
      <c r="D69" s="181">
        <f t="shared" si="2"/>
        <v>0.39428571428571429</v>
      </c>
      <c r="E69" s="182">
        <f t="shared" si="3"/>
        <v>0.3995044211877341</v>
      </c>
    </row>
    <row r="70" spans="1:5">
      <c r="A70" s="181">
        <v>68</v>
      </c>
      <c r="B70" s="181">
        <v>10</v>
      </c>
      <c r="C70" s="181">
        <v>2</v>
      </c>
      <c r="D70" s="181">
        <f t="shared" si="2"/>
        <v>0.4</v>
      </c>
      <c r="E70" s="182">
        <f t="shared" si="3"/>
        <v>0.3995044211877341</v>
      </c>
    </row>
    <row r="71" spans="1:5">
      <c r="A71" s="181">
        <v>69</v>
      </c>
      <c r="B71" s="181">
        <v>2</v>
      </c>
      <c r="C71" s="181">
        <v>2</v>
      </c>
      <c r="D71" s="181">
        <f t="shared" si="2"/>
        <v>0.40571428571428569</v>
      </c>
      <c r="E71" s="182">
        <f t="shared" si="3"/>
        <v>0.3995044211877341</v>
      </c>
    </row>
    <row r="72" spans="1:5">
      <c r="A72" s="181">
        <v>70</v>
      </c>
      <c r="B72" s="181">
        <v>0</v>
      </c>
      <c r="C72" s="181">
        <v>2</v>
      </c>
      <c r="D72" s="181">
        <f t="shared" si="2"/>
        <v>0.41142857142857142</v>
      </c>
      <c r="E72" s="182">
        <f t="shared" si="3"/>
        <v>0.3995044211877341</v>
      </c>
    </row>
    <row r="73" spans="1:5">
      <c r="A73" s="181">
        <v>71</v>
      </c>
      <c r="B73" s="181">
        <v>10</v>
      </c>
      <c r="C73" s="181">
        <v>2</v>
      </c>
      <c r="D73" s="181">
        <f t="shared" si="2"/>
        <v>0.41714285714285715</v>
      </c>
      <c r="E73" s="182">
        <f t="shared" si="3"/>
        <v>0.3995044211877341</v>
      </c>
    </row>
    <row r="74" spans="1:5">
      <c r="A74" s="181">
        <v>72</v>
      </c>
      <c r="B74" s="181">
        <v>2</v>
      </c>
      <c r="C74" s="181">
        <v>2</v>
      </c>
      <c r="D74" s="181">
        <f t="shared" si="2"/>
        <v>0.42285714285714288</v>
      </c>
      <c r="E74" s="182">
        <f t="shared" si="3"/>
        <v>0.3995044211877341</v>
      </c>
    </row>
    <row r="75" spans="1:5">
      <c r="A75" s="181">
        <v>73</v>
      </c>
      <c r="B75" s="181">
        <v>13</v>
      </c>
      <c r="C75" s="181">
        <v>2</v>
      </c>
      <c r="D75" s="181">
        <f t="shared" si="2"/>
        <v>0.42857142857142855</v>
      </c>
      <c r="E75" s="182">
        <f t="shared" si="3"/>
        <v>0.3995044211877341</v>
      </c>
    </row>
    <row r="76" spans="1:5">
      <c r="A76" s="181">
        <v>74</v>
      </c>
      <c r="B76" s="181">
        <v>13</v>
      </c>
      <c r="C76" s="181">
        <v>2</v>
      </c>
      <c r="D76" s="181">
        <f t="shared" si="2"/>
        <v>0.43428571428571427</v>
      </c>
      <c r="E76" s="182">
        <f t="shared" si="3"/>
        <v>0.3995044211877341</v>
      </c>
    </row>
    <row r="77" spans="1:5">
      <c r="A77" s="181">
        <v>75</v>
      </c>
      <c r="B77" s="181">
        <v>8</v>
      </c>
      <c r="C77" s="181">
        <v>2</v>
      </c>
      <c r="D77" s="181">
        <f t="shared" si="2"/>
        <v>0.44</v>
      </c>
      <c r="E77" s="182">
        <f t="shared" si="3"/>
        <v>0.3995044211877341</v>
      </c>
    </row>
    <row r="78" spans="1:5">
      <c r="A78" s="181">
        <v>76</v>
      </c>
      <c r="B78" s="181">
        <v>2</v>
      </c>
      <c r="C78" s="181">
        <v>2</v>
      </c>
      <c r="D78" s="181">
        <f t="shared" si="2"/>
        <v>0.44571428571428573</v>
      </c>
      <c r="E78" s="182">
        <f t="shared" si="3"/>
        <v>0.3995044211877341</v>
      </c>
    </row>
    <row r="79" spans="1:5">
      <c r="A79" s="181">
        <v>77</v>
      </c>
      <c r="B79" s="181">
        <v>2</v>
      </c>
      <c r="C79" s="181">
        <v>2</v>
      </c>
      <c r="D79" s="181">
        <f t="shared" si="2"/>
        <v>0.4514285714285714</v>
      </c>
      <c r="E79" s="182">
        <f t="shared" si="3"/>
        <v>0.3995044211877341</v>
      </c>
    </row>
    <row r="80" spans="1:5">
      <c r="A80" s="181">
        <v>78</v>
      </c>
      <c r="B80" s="181">
        <v>7</v>
      </c>
      <c r="C80" s="181">
        <v>3</v>
      </c>
      <c r="D80" s="181">
        <f t="shared" si="2"/>
        <v>0.45714285714285713</v>
      </c>
      <c r="E80" s="182">
        <f t="shared" si="3"/>
        <v>0.53466606902568659</v>
      </c>
    </row>
    <row r="81" spans="1:5">
      <c r="A81" s="181">
        <v>79</v>
      </c>
      <c r="B81" s="181">
        <v>1</v>
      </c>
      <c r="C81" s="181">
        <v>3</v>
      </c>
      <c r="D81" s="181">
        <f t="shared" si="2"/>
        <v>0.46285714285714286</v>
      </c>
      <c r="E81" s="182">
        <f t="shared" si="3"/>
        <v>0.53466606902568659</v>
      </c>
    </row>
    <row r="82" spans="1:5">
      <c r="A82" s="181">
        <v>80</v>
      </c>
      <c r="B82" s="181">
        <v>1</v>
      </c>
      <c r="C82" s="181">
        <v>3</v>
      </c>
      <c r="D82" s="181">
        <f t="shared" si="2"/>
        <v>0.46857142857142858</v>
      </c>
      <c r="E82" s="182">
        <f t="shared" si="3"/>
        <v>0.53466606902568659</v>
      </c>
    </row>
    <row r="83" spans="1:5">
      <c r="A83" s="181">
        <v>81</v>
      </c>
      <c r="B83" s="181">
        <v>3</v>
      </c>
      <c r="C83" s="181">
        <v>3</v>
      </c>
      <c r="D83" s="181">
        <f t="shared" si="2"/>
        <v>0.47428571428571431</v>
      </c>
      <c r="E83" s="182">
        <f t="shared" si="3"/>
        <v>0.53466606902568659</v>
      </c>
    </row>
    <row r="84" spans="1:5">
      <c r="A84" s="181">
        <v>82</v>
      </c>
      <c r="B84" s="181">
        <v>11</v>
      </c>
      <c r="C84" s="181">
        <v>3</v>
      </c>
      <c r="D84" s="181">
        <f t="shared" si="2"/>
        <v>0.48</v>
      </c>
      <c r="E84" s="182">
        <f t="shared" si="3"/>
        <v>0.53466606902568659</v>
      </c>
    </row>
    <row r="85" spans="1:5">
      <c r="A85" s="181">
        <v>83</v>
      </c>
      <c r="B85" s="181">
        <v>5</v>
      </c>
      <c r="C85" s="181">
        <v>3</v>
      </c>
      <c r="D85" s="181">
        <f t="shared" si="2"/>
        <v>0.48571428571428571</v>
      </c>
      <c r="E85" s="182">
        <f t="shared" si="3"/>
        <v>0.53466606902568659</v>
      </c>
    </row>
    <row r="86" spans="1:5">
      <c r="A86" s="181">
        <v>84</v>
      </c>
      <c r="B86" s="181">
        <v>3</v>
      </c>
      <c r="C86" s="181">
        <v>3</v>
      </c>
      <c r="D86" s="181">
        <f t="shared" si="2"/>
        <v>0.49142857142857144</v>
      </c>
      <c r="E86" s="182">
        <f t="shared" si="3"/>
        <v>0.53466606902568659</v>
      </c>
    </row>
    <row r="87" spans="1:5">
      <c r="A87" s="181">
        <v>85</v>
      </c>
      <c r="B87" s="181">
        <v>1</v>
      </c>
      <c r="C87" s="181">
        <v>3</v>
      </c>
      <c r="D87" s="181">
        <f t="shared" si="2"/>
        <v>0.49714285714285716</v>
      </c>
      <c r="E87" s="182">
        <f t="shared" si="3"/>
        <v>0.53466606902568659</v>
      </c>
    </row>
    <row r="88" spans="1:5">
      <c r="A88" s="181">
        <v>86</v>
      </c>
      <c r="B88" s="181">
        <v>4</v>
      </c>
      <c r="C88" s="181">
        <v>3</v>
      </c>
      <c r="D88" s="181">
        <f t="shared" si="2"/>
        <v>0.50285714285714289</v>
      </c>
      <c r="E88" s="182">
        <f t="shared" si="3"/>
        <v>0.53466606902568659</v>
      </c>
    </row>
    <row r="89" spans="1:5">
      <c r="A89" s="181">
        <v>87</v>
      </c>
      <c r="B89" s="181">
        <v>18</v>
      </c>
      <c r="C89" s="181">
        <v>3</v>
      </c>
      <c r="D89" s="181">
        <f t="shared" si="2"/>
        <v>0.50857142857142856</v>
      </c>
      <c r="E89" s="182">
        <f t="shared" si="3"/>
        <v>0.53466606902568659</v>
      </c>
    </row>
    <row r="90" spans="1:5">
      <c r="A90" s="181">
        <v>88</v>
      </c>
      <c r="B90" s="181">
        <v>1</v>
      </c>
      <c r="C90" s="181">
        <v>3</v>
      </c>
      <c r="D90" s="181">
        <f t="shared" si="2"/>
        <v>0.51428571428571423</v>
      </c>
      <c r="E90" s="182">
        <f t="shared" si="3"/>
        <v>0.53466606902568659</v>
      </c>
    </row>
    <row r="91" spans="1:5">
      <c r="A91" s="181">
        <v>89</v>
      </c>
      <c r="B91" s="181">
        <v>3</v>
      </c>
      <c r="C91" s="181">
        <v>3</v>
      </c>
      <c r="D91" s="181">
        <f t="shared" si="2"/>
        <v>0.52</v>
      </c>
      <c r="E91" s="182">
        <f t="shared" si="3"/>
        <v>0.53466606902568659</v>
      </c>
    </row>
    <row r="92" spans="1:5">
      <c r="A92" s="181">
        <v>90</v>
      </c>
      <c r="B92" s="181">
        <v>9</v>
      </c>
      <c r="C92" s="181">
        <v>3</v>
      </c>
      <c r="D92" s="181">
        <f t="shared" si="2"/>
        <v>0.52571428571428569</v>
      </c>
      <c r="E92" s="182">
        <f t="shared" si="3"/>
        <v>0.53466606902568659</v>
      </c>
    </row>
    <row r="93" spans="1:5">
      <c r="A93" s="181">
        <v>91</v>
      </c>
      <c r="B93" s="181">
        <v>6</v>
      </c>
      <c r="C93" s="181">
        <v>3</v>
      </c>
      <c r="D93" s="181">
        <f t="shared" si="2"/>
        <v>0.53142857142857147</v>
      </c>
      <c r="E93" s="182">
        <f t="shared" si="3"/>
        <v>0.53466606902568659</v>
      </c>
    </row>
    <row r="94" spans="1:5">
      <c r="A94" s="181">
        <v>92</v>
      </c>
      <c r="B94" s="181">
        <v>4</v>
      </c>
      <c r="C94" s="181">
        <v>3</v>
      </c>
      <c r="D94" s="181">
        <f t="shared" si="2"/>
        <v>0.53714285714285714</v>
      </c>
      <c r="E94" s="182">
        <f t="shared" si="3"/>
        <v>0.53466606902568659</v>
      </c>
    </row>
    <row r="95" spans="1:5">
      <c r="A95" s="181">
        <v>93</v>
      </c>
      <c r="B95" s="181">
        <v>5</v>
      </c>
      <c r="C95" s="181">
        <v>3</v>
      </c>
      <c r="D95" s="181">
        <f t="shared" si="2"/>
        <v>0.54285714285714282</v>
      </c>
      <c r="E95" s="182">
        <f t="shared" si="3"/>
        <v>0.53466606902568659</v>
      </c>
    </row>
    <row r="96" spans="1:5">
      <c r="A96" s="181">
        <v>94</v>
      </c>
      <c r="B96" s="181">
        <v>2</v>
      </c>
      <c r="C96" s="181">
        <v>3</v>
      </c>
      <c r="D96" s="181">
        <f t="shared" si="2"/>
        <v>0.5485714285714286</v>
      </c>
      <c r="E96" s="182">
        <f t="shared" si="3"/>
        <v>0.53466606902568659</v>
      </c>
    </row>
    <row r="97" spans="1:5">
      <c r="A97" s="181">
        <v>95</v>
      </c>
      <c r="B97" s="181">
        <v>1</v>
      </c>
      <c r="C97" s="181">
        <v>3</v>
      </c>
      <c r="D97" s="181">
        <f t="shared" si="2"/>
        <v>0.55428571428571427</v>
      </c>
      <c r="E97" s="182">
        <f t="shared" si="3"/>
        <v>0.53466606902568659</v>
      </c>
    </row>
    <row r="98" spans="1:5">
      <c r="A98" s="181">
        <v>96</v>
      </c>
      <c r="B98" s="181">
        <v>7</v>
      </c>
      <c r="C98" s="181">
        <v>3</v>
      </c>
      <c r="D98" s="181">
        <f t="shared" si="2"/>
        <v>0.56000000000000005</v>
      </c>
      <c r="E98" s="182">
        <f t="shared" si="3"/>
        <v>0.53466606902568659</v>
      </c>
    </row>
    <row r="99" spans="1:5">
      <c r="A99" s="181">
        <v>97</v>
      </c>
      <c r="B99" s="181">
        <v>7</v>
      </c>
      <c r="C99" s="181">
        <v>3</v>
      </c>
      <c r="D99" s="181">
        <f t="shared" si="2"/>
        <v>0.56571428571428573</v>
      </c>
      <c r="E99" s="182">
        <f t="shared" si="3"/>
        <v>0.53466606902568659</v>
      </c>
    </row>
    <row r="100" spans="1:5">
      <c r="A100" s="181">
        <v>98</v>
      </c>
      <c r="B100" s="181">
        <v>8</v>
      </c>
      <c r="C100" s="181">
        <v>3</v>
      </c>
      <c r="D100" s="181">
        <f t="shared" si="2"/>
        <v>0.5714285714285714</v>
      </c>
      <c r="E100" s="182">
        <f t="shared" si="3"/>
        <v>0.53466606902568659</v>
      </c>
    </row>
    <row r="101" spans="1:5">
      <c r="A101" s="181">
        <v>99</v>
      </c>
      <c r="B101" s="181">
        <v>10</v>
      </c>
      <c r="C101" s="181">
        <v>4</v>
      </c>
      <c r="D101" s="181">
        <f t="shared" si="2"/>
        <v>0.57714285714285718</v>
      </c>
      <c r="E101" s="182">
        <f t="shared" si="3"/>
        <v>0.63940505982692164</v>
      </c>
    </row>
    <row r="102" spans="1:5">
      <c r="A102" s="181">
        <v>100</v>
      </c>
      <c r="B102" s="181">
        <v>3</v>
      </c>
      <c r="C102" s="181">
        <v>4</v>
      </c>
      <c r="D102" s="181">
        <f t="shared" si="2"/>
        <v>0.58285714285714285</v>
      </c>
      <c r="E102" s="182">
        <f t="shared" si="3"/>
        <v>0.63940505982692164</v>
      </c>
    </row>
    <row r="103" spans="1:5">
      <c r="A103" s="181">
        <v>101</v>
      </c>
      <c r="B103" s="181">
        <v>3</v>
      </c>
      <c r="C103" s="181">
        <v>4</v>
      </c>
      <c r="D103" s="181">
        <f t="shared" si="2"/>
        <v>0.58857142857142852</v>
      </c>
      <c r="E103" s="182">
        <f t="shared" si="3"/>
        <v>0.63940505982692164</v>
      </c>
    </row>
    <row r="104" spans="1:5">
      <c r="A104" s="181">
        <v>102</v>
      </c>
      <c r="B104" s="181">
        <v>6</v>
      </c>
      <c r="C104" s="181">
        <v>4</v>
      </c>
      <c r="D104" s="181">
        <f t="shared" si="2"/>
        <v>0.59428571428571431</v>
      </c>
      <c r="E104" s="182">
        <f t="shared" si="3"/>
        <v>0.63940505982692164</v>
      </c>
    </row>
    <row r="105" spans="1:5">
      <c r="A105" s="181">
        <v>103</v>
      </c>
      <c r="B105" s="181">
        <v>4</v>
      </c>
      <c r="C105" s="181">
        <v>4</v>
      </c>
      <c r="D105" s="181">
        <f t="shared" si="2"/>
        <v>0.6</v>
      </c>
      <c r="E105" s="182">
        <f t="shared" si="3"/>
        <v>0.63940505982692164</v>
      </c>
    </row>
    <row r="106" spans="1:5">
      <c r="A106" s="181">
        <v>104</v>
      </c>
      <c r="B106" s="181">
        <v>5</v>
      </c>
      <c r="C106" s="181">
        <v>4</v>
      </c>
      <c r="D106" s="181">
        <f t="shared" si="2"/>
        <v>0.60571428571428576</v>
      </c>
      <c r="E106" s="182">
        <f t="shared" si="3"/>
        <v>0.63940505982692164</v>
      </c>
    </row>
    <row r="107" spans="1:5">
      <c r="A107" s="181">
        <v>105</v>
      </c>
      <c r="B107" s="181">
        <v>6</v>
      </c>
      <c r="C107" s="181">
        <v>4</v>
      </c>
      <c r="D107" s="181">
        <f t="shared" si="2"/>
        <v>0.61142857142857143</v>
      </c>
      <c r="E107" s="182">
        <f t="shared" si="3"/>
        <v>0.63940505982692164</v>
      </c>
    </row>
    <row r="108" spans="1:5">
      <c r="A108" s="181">
        <v>106</v>
      </c>
      <c r="B108" s="181">
        <v>8</v>
      </c>
      <c r="C108" s="181">
        <v>4</v>
      </c>
      <c r="D108" s="181">
        <f t="shared" si="2"/>
        <v>0.6171428571428571</v>
      </c>
      <c r="E108" s="182">
        <f t="shared" si="3"/>
        <v>0.63940505982692164</v>
      </c>
    </row>
    <row r="109" spans="1:5">
      <c r="A109" s="181">
        <v>107</v>
      </c>
      <c r="B109" s="181">
        <v>2</v>
      </c>
      <c r="C109" s="181">
        <v>4</v>
      </c>
      <c r="D109" s="181">
        <f t="shared" si="2"/>
        <v>0.62285714285714289</v>
      </c>
      <c r="E109" s="182">
        <f t="shared" si="3"/>
        <v>0.63940505982692164</v>
      </c>
    </row>
    <row r="110" spans="1:5">
      <c r="A110" s="181">
        <v>108</v>
      </c>
      <c r="B110" s="181">
        <v>2</v>
      </c>
      <c r="C110" s="181">
        <v>4</v>
      </c>
      <c r="D110" s="181">
        <f t="shared" si="2"/>
        <v>0.62857142857142856</v>
      </c>
      <c r="E110" s="182">
        <f t="shared" si="3"/>
        <v>0.63940505982692164</v>
      </c>
    </row>
    <row r="111" spans="1:5">
      <c r="A111" s="181">
        <v>109</v>
      </c>
      <c r="B111" s="181">
        <v>1</v>
      </c>
      <c r="C111" s="181">
        <v>4</v>
      </c>
      <c r="D111" s="181">
        <f t="shared" si="2"/>
        <v>0.63428571428571423</v>
      </c>
      <c r="E111" s="182">
        <f t="shared" si="3"/>
        <v>0.63940505982692164</v>
      </c>
    </row>
    <row r="112" spans="1:5">
      <c r="A112" s="181">
        <v>110</v>
      </c>
      <c r="B112" s="181">
        <v>3</v>
      </c>
      <c r="C112" s="181">
        <v>4</v>
      </c>
      <c r="D112" s="181">
        <f t="shared" si="2"/>
        <v>0.64</v>
      </c>
      <c r="E112" s="182">
        <f t="shared" si="3"/>
        <v>0.63940505982692164</v>
      </c>
    </row>
    <row r="113" spans="1:5">
      <c r="A113" s="181">
        <v>111</v>
      </c>
      <c r="B113" s="181">
        <v>0</v>
      </c>
      <c r="C113" s="181">
        <v>4</v>
      </c>
      <c r="D113" s="181">
        <f t="shared" si="2"/>
        <v>0.64571428571428569</v>
      </c>
      <c r="E113" s="182">
        <f t="shared" si="3"/>
        <v>0.63940505982692164</v>
      </c>
    </row>
    <row r="114" spans="1:5">
      <c r="A114" s="181">
        <v>112</v>
      </c>
      <c r="B114" s="181">
        <v>2</v>
      </c>
      <c r="C114" s="181">
        <v>4</v>
      </c>
      <c r="D114" s="181">
        <f t="shared" si="2"/>
        <v>0.65142857142857147</v>
      </c>
      <c r="E114" s="182">
        <f t="shared" si="3"/>
        <v>0.63940505982692164</v>
      </c>
    </row>
    <row r="115" spans="1:5">
      <c r="A115" s="181">
        <v>113</v>
      </c>
      <c r="B115" s="181">
        <v>3</v>
      </c>
      <c r="C115" s="181">
        <v>4</v>
      </c>
      <c r="D115" s="181">
        <f t="shared" si="2"/>
        <v>0.65714285714285714</v>
      </c>
      <c r="E115" s="182">
        <f t="shared" si="3"/>
        <v>0.63940505982692164</v>
      </c>
    </row>
    <row r="116" spans="1:5">
      <c r="A116" s="181">
        <v>114</v>
      </c>
      <c r="B116" s="181">
        <v>2</v>
      </c>
      <c r="C116" s="181">
        <v>4</v>
      </c>
      <c r="D116" s="181">
        <f t="shared" si="2"/>
        <v>0.66285714285714281</v>
      </c>
      <c r="E116" s="182">
        <f t="shared" si="3"/>
        <v>0.63940505982692164</v>
      </c>
    </row>
    <row r="117" spans="1:5">
      <c r="A117" s="181">
        <v>115</v>
      </c>
      <c r="B117" s="181">
        <v>3</v>
      </c>
      <c r="C117" s="181">
        <v>4</v>
      </c>
      <c r="D117" s="181">
        <f t="shared" si="2"/>
        <v>0.66857142857142859</v>
      </c>
      <c r="E117" s="182">
        <f t="shared" si="3"/>
        <v>0.63940505982692164</v>
      </c>
    </row>
    <row r="118" spans="1:5">
      <c r="A118" s="181">
        <v>116</v>
      </c>
      <c r="B118" s="181">
        <v>0</v>
      </c>
      <c r="C118" s="181">
        <v>4</v>
      </c>
      <c r="D118" s="181">
        <f t="shared" si="2"/>
        <v>0.67428571428571427</v>
      </c>
      <c r="E118" s="182">
        <f t="shared" si="3"/>
        <v>0.63940505982692164</v>
      </c>
    </row>
    <row r="119" spans="1:5">
      <c r="A119" s="181">
        <v>117</v>
      </c>
      <c r="B119" s="181">
        <v>0</v>
      </c>
      <c r="C119" s="181">
        <v>4</v>
      </c>
      <c r="D119" s="181">
        <f t="shared" si="2"/>
        <v>0.68</v>
      </c>
      <c r="E119" s="182">
        <f t="shared" si="3"/>
        <v>0.63940505982692164</v>
      </c>
    </row>
    <row r="120" spans="1:5">
      <c r="A120" s="181">
        <v>118</v>
      </c>
      <c r="B120" s="181">
        <v>7</v>
      </c>
      <c r="C120" s="181">
        <v>5</v>
      </c>
      <c r="D120" s="181">
        <f t="shared" si="2"/>
        <v>0.68571428571428572</v>
      </c>
      <c r="E120" s="182">
        <f t="shared" si="3"/>
        <v>0.72056903177859266</v>
      </c>
    </row>
    <row r="121" spans="1:5">
      <c r="A121" s="181">
        <v>119</v>
      </c>
      <c r="B121" s="181">
        <v>2</v>
      </c>
      <c r="C121" s="181">
        <v>5</v>
      </c>
      <c r="D121" s="181">
        <f t="shared" si="2"/>
        <v>0.69142857142857139</v>
      </c>
      <c r="E121" s="182">
        <f t="shared" si="3"/>
        <v>0.72056903177859266</v>
      </c>
    </row>
    <row r="122" spans="1:5">
      <c r="A122" s="181">
        <v>120</v>
      </c>
      <c r="B122" s="181">
        <v>0</v>
      </c>
      <c r="C122" s="181">
        <v>5</v>
      </c>
      <c r="D122" s="181">
        <f t="shared" si="2"/>
        <v>0.69714285714285718</v>
      </c>
      <c r="E122" s="182">
        <f t="shared" si="3"/>
        <v>0.72056903177859266</v>
      </c>
    </row>
    <row r="123" spans="1:5">
      <c r="A123" s="181">
        <v>121</v>
      </c>
      <c r="B123" s="181">
        <v>3</v>
      </c>
      <c r="C123" s="181">
        <v>5</v>
      </c>
      <c r="D123" s="181">
        <f t="shared" si="2"/>
        <v>0.70285714285714285</v>
      </c>
      <c r="E123" s="182">
        <f t="shared" si="3"/>
        <v>0.72056903177859266</v>
      </c>
    </row>
    <row r="124" spans="1:5">
      <c r="A124" s="181">
        <v>122</v>
      </c>
      <c r="B124" s="181">
        <v>6</v>
      </c>
      <c r="C124" s="181">
        <v>5</v>
      </c>
      <c r="D124" s="181">
        <f t="shared" si="2"/>
        <v>0.70857142857142852</v>
      </c>
      <c r="E124" s="182">
        <f t="shared" si="3"/>
        <v>0.72056903177859266</v>
      </c>
    </row>
    <row r="125" spans="1:5">
      <c r="A125" s="181">
        <v>123</v>
      </c>
      <c r="B125" s="181">
        <v>1</v>
      </c>
      <c r="C125" s="181">
        <v>5</v>
      </c>
      <c r="D125" s="181">
        <f t="shared" si="2"/>
        <v>0.7142857142857143</v>
      </c>
      <c r="E125" s="182">
        <f t="shared" si="3"/>
        <v>0.72056903177859266</v>
      </c>
    </row>
    <row r="126" spans="1:5">
      <c r="A126" s="181">
        <v>124</v>
      </c>
      <c r="B126" s="181">
        <v>4</v>
      </c>
      <c r="C126" s="181">
        <v>5</v>
      </c>
      <c r="D126" s="181">
        <f t="shared" si="2"/>
        <v>0.72</v>
      </c>
      <c r="E126" s="182">
        <f t="shared" si="3"/>
        <v>0.72056903177859266</v>
      </c>
    </row>
    <row r="127" spans="1:5">
      <c r="A127" s="181">
        <v>125</v>
      </c>
      <c r="B127" s="181">
        <v>1</v>
      </c>
      <c r="C127" s="181">
        <v>5</v>
      </c>
      <c r="D127" s="181">
        <f t="shared" si="2"/>
        <v>0.72571428571428576</v>
      </c>
      <c r="E127" s="182">
        <f t="shared" si="3"/>
        <v>0.72056903177859266</v>
      </c>
    </row>
    <row r="128" spans="1:5">
      <c r="A128" s="181">
        <v>126</v>
      </c>
      <c r="B128" s="181">
        <v>0</v>
      </c>
      <c r="C128" s="181">
        <v>5</v>
      </c>
      <c r="D128" s="181">
        <f t="shared" si="2"/>
        <v>0.73142857142857143</v>
      </c>
      <c r="E128" s="182">
        <f t="shared" si="3"/>
        <v>0.72056903177859266</v>
      </c>
    </row>
    <row r="129" spans="1:5">
      <c r="A129" s="181">
        <v>127</v>
      </c>
      <c r="B129" s="181">
        <v>3</v>
      </c>
      <c r="C129" s="181">
        <v>5</v>
      </c>
      <c r="D129" s="181">
        <f t="shared" si="2"/>
        <v>0.7371428571428571</v>
      </c>
      <c r="E129" s="182">
        <f t="shared" si="3"/>
        <v>0.72056903177859266</v>
      </c>
    </row>
    <row r="130" spans="1:5">
      <c r="A130" s="181">
        <v>128</v>
      </c>
      <c r="B130" s="181">
        <v>3</v>
      </c>
      <c r="C130" s="181">
        <v>5</v>
      </c>
      <c r="D130" s="181">
        <f t="shared" si="2"/>
        <v>0.74285714285714288</v>
      </c>
      <c r="E130" s="182">
        <f t="shared" si="3"/>
        <v>0.72056903177859266</v>
      </c>
    </row>
    <row r="131" spans="1:5">
      <c r="A131" s="181">
        <v>129</v>
      </c>
      <c r="B131" s="181">
        <v>4</v>
      </c>
      <c r="C131" s="181">
        <v>5</v>
      </c>
      <c r="D131" s="181">
        <f t="shared" si="2"/>
        <v>0.74857142857142855</v>
      </c>
      <c r="E131" s="182">
        <f t="shared" si="3"/>
        <v>0.72056903177859266</v>
      </c>
    </row>
    <row r="132" spans="1:5">
      <c r="A132" s="181">
        <v>130</v>
      </c>
      <c r="B132" s="181">
        <v>5</v>
      </c>
      <c r="C132" s="181">
        <v>5</v>
      </c>
      <c r="D132" s="181">
        <f t="shared" ref="D132:D176" si="4">ROW(B132)/175</f>
        <v>0.75428571428571434</v>
      </c>
      <c r="E132" s="182">
        <f t="shared" ref="E132:E176" si="5">1-EXP(-$H$3 * C132)</f>
        <v>0.72056903177859266</v>
      </c>
    </row>
    <row r="133" spans="1:5">
      <c r="A133" s="181">
        <v>131</v>
      </c>
      <c r="B133" s="181">
        <v>15</v>
      </c>
      <c r="C133" s="181">
        <v>5</v>
      </c>
      <c r="D133" s="181">
        <f t="shared" si="4"/>
        <v>0.76</v>
      </c>
      <c r="E133" s="182">
        <f t="shared" si="5"/>
        <v>0.72056903177859266</v>
      </c>
    </row>
    <row r="134" spans="1:5">
      <c r="A134" s="181">
        <v>132</v>
      </c>
      <c r="B134" s="181">
        <v>3</v>
      </c>
      <c r="C134" s="181">
        <v>6</v>
      </c>
      <c r="D134" s="181">
        <f t="shared" si="4"/>
        <v>0.76571428571428568</v>
      </c>
      <c r="E134" s="182">
        <f t="shared" si="5"/>
        <v>0.78346433268399296</v>
      </c>
    </row>
    <row r="135" spans="1:5">
      <c r="A135" s="181">
        <v>133</v>
      </c>
      <c r="B135" s="181">
        <v>2</v>
      </c>
      <c r="C135" s="181">
        <v>6</v>
      </c>
      <c r="D135" s="181">
        <f t="shared" si="4"/>
        <v>0.77142857142857146</v>
      </c>
      <c r="E135" s="182">
        <f t="shared" si="5"/>
        <v>0.78346433268399296</v>
      </c>
    </row>
    <row r="136" spans="1:5">
      <c r="A136" s="181">
        <v>134</v>
      </c>
      <c r="B136" s="181">
        <v>6</v>
      </c>
      <c r="C136" s="181">
        <v>6</v>
      </c>
      <c r="D136" s="181">
        <f t="shared" si="4"/>
        <v>0.77714285714285714</v>
      </c>
      <c r="E136" s="182">
        <f t="shared" si="5"/>
        <v>0.78346433268399296</v>
      </c>
    </row>
    <row r="137" spans="1:5">
      <c r="A137" s="181">
        <v>135</v>
      </c>
      <c r="B137" s="181">
        <v>1</v>
      </c>
      <c r="C137" s="181">
        <v>6</v>
      </c>
      <c r="D137" s="181">
        <f t="shared" si="4"/>
        <v>0.78285714285714281</v>
      </c>
      <c r="E137" s="182">
        <f t="shared" si="5"/>
        <v>0.78346433268399296</v>
      </c>
    </row>
    <row r="138" spans="1:5">
      <c r="A138" s="181">
        <v>136</v>
      </c>
      <c r="B138" s="181">
        <v>2</v>
      </c>
      <c r="C138" s="181">
        <v>6</v>
      </c>
      <c r="D138" s="181">
        <f t="shared" si="4"/>
        <v>0.78857142857142859</v>
      </c>
      <c r="E138" s="182">
        <f t="shared" si="5"/>
        <v>0.78346433268399296</v>
      </c>
    </row>
    <row r="139" spans="1:5">
      <c r="A139" s="181">
        <v>137</v>
      </c>
      <c r="B139" s="181">
        <v>0</v>
      </c>
      <c r="C139" s="181">
        <v>6</v>
      </c>
      <c r="D139" s="181">
        <f t="shared" si="4"/>
        <v>0.79428571428571426</v>
      </c>
      <c r="E139" s="182">
        <f t="shared" si="5"/>
        <v>0.78346433268399296</v>
      </c>
    </row>
    <row r="140" spans="1:5">
      <c r="A140" s="181">
        <v>138</v>
      </c>
      <c r="B140" s="181">
        <v>1</v>
      </c>
      <c r="C140" s="181">
        <v>6</v>
      </c>
      <c r="D140" s="181">
        <f t="shared" si="4"/>
        <v>0.8</v>
      </c>
      <c r="E140" s="182">
        <f t="shared" si="5"/>
        <v>0.78346433268399296</v>
      </c>
    </row>
    <row r="141" spans="1:5">
      <c r="A141" s="181">
        <v>139</v>
      </c>
      <c r="B141" s="181">
        <v>14</v>
      </c>
      <c r="C141" s="181">
        <v>6</v>
      </c>
      <c r="D141" s="181">
        <f t="shared" si="4"/>
        <v>0.80571428571428572</v>
      </c>
      <c r="E141" s="182">
        <f t="shared" si="5"/>
        <v>0.78346433268399296</v>
      </c>
    </row>
    <row r="142" spans="1:5">
      <c r="A142" s="181">
        <v>140</v>
      </c>
      <c r="B142" s="181">
        <v>8</v>
      </c>
      <c r="C142" s="181">
        <v>6</v>
      </c>
      <c r="D142" s="181">
        <f t="shared" si="4"/>
        <v>0.81142857142857139</v>
      </c>
      <c r="E142" s="182">
        <f t="shared" si="5"/>
        <v>0.78346433268399296</v>
      </c>
    </row>
    <row r="143" spans="1:5">
      <c r="A143" s="181">
        <v>141</v>
      </c>
      <c r="B143" s="181">
        <v>5</v>
      </c>
      <c r="C143" s="181">
        <v>7</v>
      </c>
      <c r="D143" s="181">
        <f t="shared" si="4"/>
        <v>0.81714285714285717</v>
      </c>
      <c r="E143" s="182">
        <f t="shared" si="5"/>
        <v>0.83220293899981412</v>
      </c>
    </row>
    <row r="144" spans="1:5">
      <c r="A144" s="181">
        <v>142</v>
      </c>
      <c r="B144" s="181">
        <v>2</v>
      </c>
      <c r="C144" s="181">
        <v>7</v>
      </c>
      <c r="D144" s="181">
        <f t="shared" si="4"/>
        <v>0.82285714285714284</v>
      </c>
      <c r="E144" s="182">
        <f t="shared" si="5"/>
        <v>0.83220293899981412</v>
      </c>
    </row>
    <row r="145" spans="1:5">
      <c r="A145" s="181">
        <v>143</v>
      </c>
      <c r="B145" s="181">
        <v>0</v>
      </c>
      <c r="C145" s="181">
        <v>7</v>
      </c>
      <c r="D145" s="181">
        <f t="shared" si="4"/>
        <v>0.82857142857142863</v>
      </c>
      <c r="E145" s="182">
        <f t="shared" si="5"/>
        <v>0.83220293899981412</v>
      </c>
    </row>
    <row r="146" spans="1:5">
      <c r="A146" s="181">
        <v>144</v>
      </c>
      <c r="B146" s="181">
        <v>1</v>
      </c>
      <c r="C146" s="181">
        <v>7</v>
      </c>
      <c r="D146" s="181">
        <f t="shared" si="4"/>
        <v>0.8342857142857143</v>
      </c>
      <c r="E146" s="182">
        <f t="shared" si="5"/>
        <v>0.83220293899981412</v>
      </c>
    </row>
    <row r="147" spans="1:5">
      <c r="A147" s="181">
        <v>145</v>
      </c>
      <c r="B147" s="181">
        <v>1</v>
      </c>
      <c r="C147" s="181">
        <v>7</v>
      </c>
      <c r="D147" s="181">
        <f t="shared" si="4"/>
        <v>0.84</v>
      </c>
      <c r="E147" s="182">
        <f t="shared" si="5"/>
        <v>0.83220293899981412</v>
      </c>
    </row>
    <row r="148" spans="1:5">
      <c r="A148" s="181">
        <v>146</v>
      </c>
      <c r="B148" s="181">
        <v>3</v>
      </c>
      <c r="C148" s="181">
        <v>8</v>
      </c>
      <c r="D148" s="181">
        <f t="shared" si="4"/>
        <v>0.84571428571428575</v>
      </c>
      <c r="E148" s="182">
        <f t="shared" si="5"/>
        <v>0.86997128912157407</v>
      </c>
    </row>
    <row r="149" spans="1:5">
      <c r="A149" s="181">
        <v>147</v>
      </c>
      <c r="B149" s="181">
        <v>5</v>
      </c>
      <c r="C149" s="181">
        <v>8</v>
      </c>
      <c r="D149" s="181">
        <f t="shared" si="4"/>
        <v>0.85142857142857142</v>
      </c>
      <c r="E149" s="182">
        <f t="shared" si="5"/>
        <v>0.86997128912157407</v>
      </c>
    </row>
    <row r="150" spans="1:5">
      <c r="A150" s="181">
        <v>148</v>
      </c>
      <c r="B150" s="181">
        <v>5</v>
      </c>
      <c r="C150" s="181">
        <v>8</v>
      </c>
      <c r="D150" s="181">
        <f t="shared" si="4"/>
        <v>0.8571428571428571</v>
      </c>
      <c r="E150" s="182">
        <f t="shared" si="5"/>
        <v>0.86997128912157407</v>
      </c>
    </row>
    <row r="151" spans="1:5">
      <c r="A151" s="181">
        <v>149</v>
      </c>
      <c r="B151" s="181">
        <v>2</v>
      </c>
      <c r="C151" s="181">
        <v>8</v>
      </c>
      <c r="D151" s="181">
        <f t="shared" si="4"/>
        <v>0.86285714285714288</v>
      </c>
      <c r="E151" s="182">
        <f t="shared" si="5"/>
        <v>0.86997128912157407</v>
      </c>
    </row>
    <row r="152" spans="1:5">
      <c r="A152" s="181">
        <v>150</v>
      </c>
      <c r="B152" s="181">
        <v>12</v>
      </c>
      <c r="C152" s="181">
        <v>8</v>
      </c>
      <c r="D152" s="181">
        <f t="shared" si="4"/>
        <v>0.86857142857142855</v>
      </c>
      <c r="E152" s="182">
        <f t="shared" si="5"/>
        <v>0.86997128912157407</v>
      </c>
    </row>
    <row r="153" spans="1:5">
      <c r="A153" s="181">
        <v>151</v>
      </c>
      <c r="B153" s="181">
        <v>5</v>
      </c>
      <c r="C153" s="181">
        <v>8</v>
      </c>
      <c r="D153" s="181">
        <f t="shared" si="4"/>
        <v>0.87428571428571433</v>
      </c>
      <c r="E153" s="182">
        <f t="shared" si="5"/>
        <v>0.86997128912157407</v>
      </c>
    </row>
    <row r="154" spans="1:5">
      <c r="A154" s="181">
        <v>152</v>
      </c>
      <c r="B154" s="181">
        <v>3</v>
      </c>
      <c r="C154" s="181">
        <v>8</v>
      </c>
      <c r="D154" s="181">
        <f t="shared" si="4"/>
        <v>0.88</v>
      </c>
      <c r="E154" s="182">
        <f t="shared" si="5"/>
        <v>0.86997128912157407</v>
      </c>
    </row>
    <row r="155" spans="1:5">
      <c r="A155" s="181">
        <v>153</v>
      </c>
      <c r="B155" s="181">
        <v>4</v>
      </c>
      <c r="C155" s="181">
        <v>8</v>
      </c>
      <c r="D155" s="181">
        <f t="shared" si="4"/>
        <v>0.88571428571428568</v>
      </c>
      <c r="E155" s="182">
        <f t="shared" si="5"/>
        <v>0.86997128912157407</v>
      </c>
    </row>
    <row r="156" spans="1:5">
      <c r="A156" s="181">
        <v>154</v>
      </c>
      <c r="B156" s="181">
        <v>2</v>
      </c>
      <c r="C156" s="181">
        <v>9</v>
      </c>
      <c r="D156" s="181">
        <f t="shared" si="4"/>
        <v>0.89142857142857146</v>
      </c>
      <c r="E156" s="182">
        <f t="shared" si="5"/>
        <v>0.89923860673169631</v>
      </c>
    </row>
    <row r="157" spans="1:5">
      <c r="A157" s="181">
        <v>155</v>
      </c>
      <c r="B157" s="181">
        <v>1</v>
      </c>
      <c r="C157" s="181">
        <v>9</v>
      </c>
      <c r="D157" s="181">
        <f t="shared" si="4"/>
        <v>0.89714285714285713</v>
      </c>
      <c r="E157" s="182">
        <f t="shared" si="5"/>
        <v>0.89923860673169631</v>
      </c>
    </row>
    <row r="158" spans="1:5">
      <c r="A158" s="181">
        <v>156</v>
      </c>
      <c r="B158" s="181">
        <v>2</v>
      </c>
      <c r="C158" s="181">
        <v>9</v>
      </c>
      <c r="D158" s="181">
        <f t="shared" si="4"/>
        <v>0.9028571428571428</v>
      </c>
      <c r="E158" s="182">
        <f t="shared" si="5"/>
        <v>0.89923860673169631</v>
      </c>
    </row>
    <row r="159" spans="1:5">
      <c r="A159" s="181">
        <v>157</v>
      </c>
      <c r="B159" s="181">
        <v>6</v>
      </c>
      <c r="C159" s="181">
        <v>9</v>
      </c>
      <c r="D159" s="181">
        <f t="shared" si="4"/>
        <v>0.90857142857142859</v>
      </c>
      <c r="E159" s="182">
        <f t="shared" si="5"/>
        <v>0.89923860673169631</v>
      </c>
    </row>
    <row r="160" spans="1:5">
      <c r="A160" s="181">
        <v>158</v>
      </c>
      <c r="B160" s="181">
        <v>0</v>
      </c>
      <c r="C160" s="181">
        <v>9</v>
      </c>
      <c r="D160" s="181">
        <f t="shared" si="4"/>
        <v>0.91428571428571426</v>
      </c>
      <c r="E160" s="182">
        <f t="shared" si="5"/>
        <v>0.89923860673169631</v>
      </c>
    </row>
    <row r="161" spans="1:5">
      <c r="A161" s="181">
        <v>159</v>
      </c>
      <c r="B161" s="181">
        <v>0</v>
      </c>
      <c r="C161" s="181">
        <v>10</v>
      </c>
      <c r="D161" s="181">
        <f t="shared" si="4"/>
        <v>0.92</v>
      </c>
      <c r="E161" s="182">
        <f t="shared" si="5"/>
        <v>0.92191833399884682</v>
      </c>
    </row>
    <row r="162" spans="1:5">
      <c r="A162" s="181">
        <v>160</v>
      </c>
      <c r="B162" s="181">
        <v>0</v>
      </c>
      <c r="C162" s="181">
        <v>10</v>
      </c>
      <c r="D162" s="181">
        <f t="shared" si="4"/>
        <v>0.92571428571428571</v>
      </c>
      <c r="E162" s="182">
        <f t="shared" si="5"/>
        <v>0.92191833399884682</v>
      </c>
    </row>
    <row r="163" spans="1:5">
      <c r="A163" s="181">
        <v>161</v>
      </c>
      <c r="B163" s="181">
        <v>0</v>
      </c>
      <c r="C163" s="181">
        <v>10</v>
      </c>
      <c r="D163" s="181">
        <f t="shared" si="4"/>
        <v>0.93142857142857138</v>
      </c>
      <c r="E163" s="182">
        <f t="shared" si="5"/>
        <v>0.92191833399884682</v>
      </c>
    </row>
    <row r="164" spans="1:5">
      <c r="A164" s="181">
        <v>162</v>
      </c>
      <c r="B164" s="181">
        <v>8</v>
      </c>
      <c r="C164" s="181">
        <v>10</v>
      </c>
      <c r="D164" s="181">
        <f t="shared" si="4"/>
        <v>0.93714285714285717</v>
      </c>
      <c r="E164" s="182">
        <f t="shared" si="5"/>
        <v>0.92191833399884682</v>
      </c>
    </row>
    <row r="165" spans="1:5">
      <c r="A165" s="181">
        <v>163</v>
      </c>
      <c r="B165" s="181">
        <v>5</v>
      </c>
      <c r="C165" s="181">
        <v>11</v>
      </c>
      <c r="D165" s="181">
        <f t="shared" si="4"/>
        <v>0.94285714285714284</v>
      </c>
      <c r="E165" s="182">
        <f t="shared" si="5"/>
        <v>0.93949322882741959</v>
      </c>
    </row>
    <row r="166" spans="1:5">
      <c r="A166" s="181">
        <v>164</v>
      </c>
      <c r="B166" s="181">
        <v>3</v>
      </c>
      <c r="C166" s="181">
        <v>11</v>
      </c>
      <c r="D166" s="181">
        <f t="shared" si="4"/>
        <v>0.94857142857142862</v>
      </c>
      <c r="E166" s="182">
        <f t="shared" si="5"/>
        <v>0.93949322882741959</v>
      </c>
    </row>
    <row r="167" spans="1:5">
      <c r="A167" s="181">
        <v>165</v>
      </c>
      <c r="B167" s="181">
        <v>0</v>
      </c>
      <c r="C167" s="181">
        <v>11</v>
      </c>
      <c r="D167" s="181">
        <f t="shared" si="4"/>
        <v>0.95428571428571429</v>
      </c>
      <c r="E167" s="182">
        <f t="shared" si="5"/>
        <v>0.93949322882741959</v>
      </c>
    </row>
    <row r="168" spans="1:5">
      <c r="A168" s="181">
        <v>166</v>
      </c>
      <c r="B168" s="181">
        <v>2</v>
      </c>
      <c r="C168" s="181">
        <v>11</v>
      </c>
      <c r="D168" s="181">
        <f t="shared" si="4"/>
        <v>0.96</v>
      </c>
      <c r="E168" s="182">
        <f t="shared" si="5"/>
        <v>0.93949322882741959</v>
      </c>
    </row>
    <row r="169" spans="1:5">
      <c r="A169" s="181">
        <v>167</v>
      </c>
      <c r="B169" s="181">
        <v>3</v>
      </c>
      <c r="C169" s="181">
        <v>12</v>
      </c>
      <c r="D169" s="181">
        <f t="shared" si="4"/>
        <v>0.96571428571428575</v>
      </c>
      <c r="E169" s="182">
        <f t="shared" si="5"/>
        <v>0.95311230478001152</v>
      </c>
    </row>
    <row r="170" spans="1:5">
      <c r="A170" s="181">
        <v>168</v>
      </c>
      <c r="B170" s="181">
        <v>1</v>
      </c>
      <c r="C170" s="181">
        <v>12</v>
      </c>
      <c r="D170" s="181">
        <f t="shared" si="4"/>
        <v>0.97142857142857142</v>
      </c>
      <c r="E170" s="182">
        <f t="shared" si="5"/>
        <v>0.95311230478001152</v>
      </c>
    </row>
    <row r="171" spans="1:5">
      <c r="A171" s="181">
        <v>169</v>
      </c>
      <c r="B171" s="181">
        <v>2</v>
      </c>
      <c r="C171" s="181">
        <v>13</v>
      </c>
      <c r="D171" s="181">
        <f t="shared" si="4"/>
        <v>0.97714285714285709</v>
      </c>
      <c r="E171" s="182">
        <f t="shared" si="5"/>
        <v>0.96366595142265998</v>
      </c>
    </row>
    <row r="172" spans="1:5">
      <c r="A172" s="181">
        <v>170</v>
      </c>
      <c r="B172" s="181">
        <v>2</v>
      </c>
      <c r="C172" s="181">
        <v>13</v>
      </c>
      <c r="D172" s="181">
        <f t="shared" si="4"/>
        <v>0.98285714285714287</v>
      </c>
      <c r="E172" s="182">
        <f t="shared" si="5"/>
        <v>0.96366595142265998</v>
      </c>
    </row>
    <row r="173" spans="1:5">
      <c r="A173" s="181">
        <v>171</v>
      </c>
      <c r="B173" s="181">
        <v>4</v>
      </c>
      <c r="C173" s="181">
        <v>14</v>
      </c>
      <c r="D173" s="181">
        <f t="shared" si="4"/>
        <v>0.98857142857142855</v>
      </c>
      <c r="E173" s="182">
        <f t="shared" si="5"/>
        <v>0.97184414631969995</v>
      </c>
    </row>
    <row r="174" spans="1:5">
      <c r="A174" s="181">
        <v>172</v>
      </c>
      <c r="B174" s="181">
        <v>4</v>
      </c>
      <c r="C174" s="181">
        <v>14</v>
      </c>
      <c r="D174" s="181">
        <f t="shared" si="4"/>
        <v>0.99428571428571433</v>
      </c>
      <c r="E174" s="182">
        <f t="shared" si="5"/>
        <v>0.97184414631969995</v>
      </c>
    </row>
    <row r="175" spans="1:5">
      <c r="A175" s="181">
        <v>173</v>
      </c>
      <c r="B175" s="181">
        <v>0</v>
      </c>
      <c r="C175" s="181">
        <v>15</v>
      </c>
      <c r="D175" s="181">
        <f t="shared" si="4"/>
        <v>1</v>
      </c>
      <c r="E175" s="182">
        <f t="shared" si="5"/>
        <v>0.97818156446895721</v>
      </c>
    </row>
    <row r="176" spans="1:5">
      <c r="A176" s="181">
        <v>174</v>
      </c>
      <c r="B176" s="181">
        <v>2</v>
      </c>
      <c r="C176" s="181">
        <v>18</v>
      </c>
      <c r="D176" s="181">
        <f t="shared" si="4"/>
        <v>1.0057142857142858</v>
      </c>
      <c r="E176" s="182">
        <f t="shared" si="5"/>
        <v>0.98984714162663023</v>
      </c>
    </row>
    <row r="179" spans="4:4">
      <c r="D179" s="183"/>
    </row>
  </sheetData>
  <sortState xmlns:xlrd2="http://schemas.microsoft.com/office/spreadsheetml/2017/richdata2" ref="C3:C176">
    <sortCondition ref="C3:C176"/>
  </sortState>
  <printOptions horizontalCentered="1" verticalCentered="1"/>
  <pageMargins left="0.25" right="0.25" top="0.75" bottom="0.75" header="0.3" footer="0.3"/>
  <pageSetup paperSize="9" scale="60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55AB-3053-4EA7-95A1-8C319D1F8004}">
  <dimension ref="A1:H183"/>
  <sheetViews>
    <sheetView topLeftCell="A33" workbookViewId="0">
      <selection activeCell="H5" sqref="H5"/>
    </sheetView>
  </sheetViews>
  <sheetFormatPr defaultRowHeight="15"/>
  <cols>
    <col min="1" max="1" width="15.5703125" customWidth="1"/>
    <col min="2" max="2" width="14.42578125" customWidth="1"/>
    <col min="3" max="3" width="19.140625" customWidth="1"/>
    <col min="4" max="4" width="17.28515625" customWidth="1"/>
    <col min="5" max="5" width="18.85546875" customWidth="1"/>
    <col min="10" max="10" width="13.85546875" customWidth="1"/>
  </cols>
  <sheetData>
    <row r="1" spans="1:8">
      <c r="A1" s="127" t="s">
        <v>141</v>
      </c>
      <c r="B1" s="126" t="s">
        <v>1</v>
      </c>
      <c r="C1" s="125" t="s">
        <v>135</v>
      </c>
      <c r="D1" s="125" t="s">
        <v>142</v>
      </c>
      <c r="E1" s="125" t="s">
        <v>136</v>
      </c>
      <c r="F1" s="205"/>
      <c r="G1" s="205"/>
      <c r="H1" s="205"/>
    </row>
    <row r="2" spans="1:8">
      <c r="A2" s="130"/>
      <c r="C2" s="130"/>
      <c r="D2" s="130"/>
      <c r="E2" s="130"/>
      <c r="F2" s="130"/>
      <c r="G2" s="130"/>
      <c r="H2" s="130"/>
    </row>
    <row r="3" spans="1:8">
      <c r="A3">
        <v>662</v>
      </c>
      <c r="B3">
        <v>662</v>
      </c>
      <c r="C3">
        <f>ROW(B1)/175</f>
        <v>5.7142857142857143E-3</v>
      </c>
      <c r="D3">
        <v>0</v>
      </c>
      <c r="E3">
        <f xml:space="preserve"> 1 - EXP(- $D$179 * D3)</f>
        <v>0</v>
      </c>
    </row>
    <row r="4" spans="1:8">
      <c r="A4">
        <v>676</v>
      </c>
      <c r="B4">
        <v>676</v>
      </c>
      <c r="C4">
        <f>ROW(B2)/175</f>
        <v>1.1428571428571429E-2</v>
      </c>
      <c r="D4">
        <f>B4-B3</f>
        <v>14</v>
      </c>
      <c r="E4">
        <f xml:space="preserve"> 1 - EXP(- $D$179 * D4)</f>
        <v>0.96620399191332762</v>
      </c>
    </row>
    <row r="5" spans="1:8">
      <c r="A5">
        <v>682</v>
      </c>
      <c r="B5">
        <v>682</v>
      </c>
      <c r="C5">
        <f>ROW(B3)/175</f>
        <v>1.7142857142857144E-2</v>
      </c>
      <c r="D5">
        <f>B5-B4</f>
        <v>6</v>
      </c>
      <c r="E5">
        <f xml:space="preserve"> 1 - EXP(- $D$179 * D5)</f>
        <v>0.76583944156279848</v>
      </c>
    </row>
    <row r="6" spans="1:8">
      <c r="A6">
        <v>686</v>
      </c>
      <c r="B6">
        <v>686</v>
      </c>
      <c r="C6">
        <f t="shared" ref="C4:C67" si="0">ROW(B4)/175</f>
        <v>2.2857142857142857E-2</v>
      </c>
      <c r="D6">
        <f t="shared" ref="D6:D69" si="1">B6-B5</f>
        <v>4</v>
      </c>
      <c r="E6">
        <f t="shared" ref="E6:E69" si="2" xml:space="preserve"> 1 - EXP(- $D$179 * D6)</f>
        <v>0.62009428209863793</v>
      </c>
    </row>
    <row r="7" spans="1:8">
      <c r="A7">
        <v>686</v>
      </c>
      <c r="B7">
        <v>686</v>
      </c>
      <c r="C7">
        <f>ROW(B5)/175</f>
        <v>2.8571428571428571E-2</v>
      </c>
      <c r="D7">
        <f t="shared" si="1"/>
        <v>0</v>
      </c>
      <c r="E7">
        <f xml:space="preserve"> 1 - EXP(- $D$179 * D7)</f>
        <v>0</v>
      </c>
    </row>
    <row r="8" spans="1:8">
      <c r="A8">
        <v>697</v>
      </c>
      <c r="B8">
        <v>697</v>
      </c>
      <c r="C8">
        <f t="shared" si="0"/>
        <v>3.4285714285714287E-2</v>
      </c>
      <c r="D8">
        <f t="shared" si="1"/>
        <v>11</v>
      </c>
      <c r="E8">
        <f xml:space="preserve"> 1 - EXP(- $D$179 * D8)</f>
        <v>0.93015930816765635</v>
      </c>
    </row>
    <row r="9" spans="1:8">
      <c r="A9">
        <v>697</v>
      </c>
      <c r="B9">
        <v>697</v>
      </c>
      <c r="C9">
        <f t="shared" si="0"/>
        <v>0.04</v>
      </c>
      <c r="D9">
        <f t="shared" si="1"/>
        <v>0</v>
      </c>
      <c r="E9">
        <f t="shared" si="2"/>
        <v>0</v>
      </c>
    </row>
    <row r="10" spans="1:8">
      <c r="A10">
        <v>699</v>
      </c>
      <c r="B10">
        <v>699</v>
      </c>
      <c r="C10">
        <f t="shared" si="0"/>
        <v>4.5714285714285714E-2</v>
      </c>
      <c r="D10">
        <f t="shared" si="1"/>
        <v>2</v>
      </c>
      <c r="E10">
        <f xml:space="preserve"> 1 - EXP(- $D$179 * D10)</f>
        <v>0.38363507732726865</v>
      </c>
    </row>
    <row r="11" spans="1:8">
      <c r="A11">
        <v>701</v>
      </c>
      <c r="B11">
        <v>701</v>
      </c>
      <c r="C11">
        <f t="shared" si="0"/>
        <v>5.1428571428571428E-2</v>
      </c>
      <c r="D11">
        <f t="shared" si="1"/>
        <v>2</v>
      </c>
      <c r="E11">
        <f t="shared" si="2"/>
        <v>0.38363507732726865</v>
      </c>
    </row>
    <row r="12" spans="1:8">
      <c r="A12">
        <v>710</v>
      </c>
      <c r="B12">
        <v>710</v>
      </c>
      <c r="C12">
        <f t="shared" si="0"/>
        <v>5.7142857142857141E-2</v>
      </c>
      <c r="D12">
        <f t="shared" si="1"/>
        <v>9</v>
      </c>
      <c r="E12">
        <f t="shared" si="2"/>
        <v>0.88668937951644811</v>
      </c>
    </row>
    <row r="13" spans="1:8">
      <c r="A13">
        <v>718</v>
      </c>
      <c r="B13">
        <v>718</v>
      </c>
      <c r="C13">
        <f t="shared" si="0"/>
        <v>6.2857142857142861E-2</v>
      </c>
      <c r="D13">
        <f t="shared" si="1"/>
        <v>8</v>
      </c>
      <c r="E13">
        <f t="shared" si="2"/>
        <v>0.85567164550585062</v>
      </c>
    </row>
    <row r="14" spans="1:8">
      <c r="A14">
        <v>722</v>
      </c>
      <c r="B14">
        <v>722</v>
      </c>
      <c r="C14">
        <f t="shared" si="0"/>
        <v>6.8571428571428575E-2</v>
      </c>
      <c r="D14">
        <f>B14-B13</f>
        <v>4</v>
      </c>
      <c r="E14">
        <f t="shared" si="2"/>
        <v>0.62009428209863793</v>
      </c>
    </row>
    <row r="15" spans="1:8">
      <c r="A15">
        <v>730</v>
      </c>
      <c r="B15">
        <v>730</v>
      </c>
      <c r="C15">
        <f t="shared" si="0"/>
        <v>7.4285714285714288E-2</v>
      </c>
      <c r="D15">
        <f t="shared" si="1"/>
        <v>8</v>
      </c>
      <c r="E15">
        <f t="shared" si="2"/>
        <v>0.85567164550585062</v>
      </c>
    </row>
    <row r="16" spans="1:8">
      <c r="A16">
        <v>731</v>
      </c>
      <c r="B16">
        <v>731</v>
      </c>
      <c r="C16">
        <f t="shared" si="0"/>
        <v>0.08</v>
      </c>
      <c r="D16">
        <f t="shared" si="1"/>
        <v>1</v>
      </c>
      <c r="E16">
        <f t="shared" si="2"/>
        <v>0.21491088233708699</v>
      </c>
    </row>
    <row r="17" spans="1:5">
      <c r="A17">
        <v>734</v>
      </c>
      <c r="B17">
        <v>734</v>
      </c>
      <c r="C17">
        <f t="shared" si="0"/>
        <v>8.5714285714285715E-2</v>
      </c>
      <c r="D17">
        <f t="shared" si="1"/>
        <v>3</v>
      </c>
      <c r="E17">
        <f t="shared" si="2"/>
        <v>0.51609860670049568</v>
      </c>
    </row>
    <row r="18" spans="1:5">
      <c r="A18">
        <v>737</v>
      </c>
      <c r="B18">
        <v>737</v>
      </c>
      <c r="C18">
        <f t="shared" si="0"/>
        <v>9.1428571428571428E-2</v>
      </c>
      <c r="D18">
        <f t="shared" si="1"/>
        <v>3</v>
      </c>
      <c r="E18">
        <f t="shared" si="2"/>
        <v>0.51609860670049568</v>
      </c>
    </row>
    <row r="19" spans="1:5">
      <c r="A19">
        <v>738</v>
      </c>
      <c r="B19">
        <v>738</v>
      </c>
      <c r="C19">
        <f t="shared" si="0"/>
        <v>9.7142857142857142E-2</v>
      </c>
      <c r="D19">
        <f t="shared" si="1"/>
        <v>1</v>
      </c>
      <c r="E19">
        <f t="shared" si="2"/>
        <v>0.21491088233708699</v>
      </c>
    </row>
    <row r="20" spans="1:5">
      <c r="A20">
        <v>738</v>
      </c>
      <c r="B20">
        <v>738</v>
      </c>
      <c r="C20">
        <f t="shared" si="0"/>
        <v>0.10285714285714286</v>
      </c>
      <c r="D20">
        <f t="shared" si="1"/>
        <v>0</v>
      </c>
      <c r="E20">
        <f t="shared" si="2"/>
        <v>0</v>
      </c>
    </row>
    <row r="21" spans="1:5">
      <c r="A21">
        <v>747</v>
      </c>
      <c r="B21">
        <v>747</v>
      </c>
      <c r="C21">
        <f t="shared" si="0"/>
        <v>0.10857142857142857</v>
      </c>
      <c r="D21">
        <f t="shared" si="1"/>
        <v>9</v>
      </c>
      <c r="E21">
        <f t="shared" si="2"/>
        <v>0.88668937951644811</v>
      </c>
    </row>
    <row r="22" spans="1:5">
      <c r="A22">
        <v>757</v>
      </c>
      <c r="B22">
        <v>757</v>
      </c>
      <c r="C22">
        <f t="shared" si="0"/>
        <v>0.11428571428571428</v>
      </c>
      <c r="D22">
        <f t="shared" si="1"/>
        <v>10</v>
      </c>
      <c r="E22">
        <f t="shared" si="2"/>
        <v>0.91104106494273107</v>
      </c>
    </row>
    <row r="23" spans="1:5">
      <c r="A23">
        <v>761</v>
      </c>
      <c r="B23">
        <v>761</v>
      </c>
      <c r="C23">
        <f t="shared" si="0"/>
        <v>0.12</v>
      </c>
      <c r="D23">
        <f t="shared" si="1"/>
        <v>4</v>
      </c>
      <c r="E23">
        <f t="shared" si="2"/>
        <v>0.62009428209863793</v>
      </c>
    </row>
    <row r="24" spans="1:5">
      <c r="A24">
        <v>762</v>
      </c>
      <c r="B24">
        <v>762</v>
      </c>
      <c r="C24">
        <f t="shared" si="0"/>
        <v>0.12571428571428572</v>
      </c>
      <c r="D24">
        <f t="shared" si="1"/>
        <v>1</v>
      </c>
      <c r="E24">
        <f t="shared" si="2"/>
        <v>0.21491088233708699</v>
      </c>
    </row>
    <row r="25" spans="1:5">
      <c r="A25">
        <v>764</v>
      </c>
      <c r="B25">
        <v>764</v>
      </c>
      <c r="C25">
        <f t="shared" si="0"/>
        <v>0.13142857142857142</v>
      </c>
      <c r="D25">
        <f t="shared" si="1"/>
        <v>2</v>
      </c>
      <c r="E25">
        <f t="shared" si="2"/>
        <v>0.38363507732726865</v>
      </c>
    </row>
    <row r="26" spans="1:5">
      <c r="A26">
        <v>769</v>
      </c>
      <c r="B26">
        <v>769</v>
      </c>
      <c r="C26">
        <f t="shared" si="0"/>
        <v>0.13714285714285715</v>
      </c>
      <c r="D26">
        <f t="shared" si="1"/>
        <v>5</v>
      </c>
      <c r="E26">
        <f t="shared" si="2"/>
        <v>0.70174015513772403</v>
      </c>
    </row>
    <row r="27" spans="1:5">
      <c r="A27">
        <v>778</v>
      </c>
      <c r="B27">
        <v>778</v>
      </c>
      <c r="C27">
        <f t="shared" si="0"/>
        <v>0.14285714285714285</v>
      </c>
      <c r="D27">
        <f t="shared" si="1"/>
        <v>9</v>
      </c>
      <c r="E27">
        <f t="shared" si="2"/>
        <v>0.88668937951644811</v>
      </c>
    </row>
    <row r="28" spans="1:5">
      <c r="A28">
        <v>787</v>
      </c>
      <c r="B28">
        <v>787</v>
      </c>
      <c r="C28">
        <f t="shared" si="0"/>
        <v>0.14857142857142858</v>
      </c>
      <c r="D28">
        <f t="shared" si="1"/>
        <v>9</v>
      </c>
      <c r="E28">
        <f t="shared" si="2"/>
        <v>0.88668937951644811</v>
      </c>
    </row>
    <row r="29" spans="1:5">
      <c r="A29">
        <v>793</v>
      </c>
      <c r="B29">
        <v>793</v>
      </c>
      <c r="C29">
        <f t="shared" si="0"/>
        <v>0.15428571428571428</v>
      </c>
      <c r="D29">
        <f t="shared" si="1"/>
        <v>6</v>
      </c>
      <c r="E29">
        <f t="shared" si="2"/>
        <v>0.76583944156279848</v>
      </c>
    </row>
    <row r="30" spans="1:5">
      <c r="A30">
        <v>797</v>
      </c>
      <c r="B30">
        <v>797</v>
      </c>
      <c r="C30">
        <f t="shared" si="0"/>
        <v>0.16</v>
      </c>
      <c r="D30">
        <f t="shared" si="1"/>
        <v>4</v>
      </c>
      <c r="E30">
        <f t="shared" si="2"/>
        <v>0.62009428209863793</v>
      </c>
    </row>
    <row r="31" spans="1:5">
      <c r="A31">
        <v>798</v>
      </c>
      <c r="B31">
        <v>798</v>
      </c>
      <c r="C31">
        <f t="shared" si="0"/>
        <v>0.1657142857142857</v>
      </c>
      <c r="D31">
        <f t="shared" si="1"/>
        <v>1</v>
      </c>
      <c r="E31">
        <f t="shared" si="2"/>
        <v>0.21491088233708699</v>
      </c>
    </row>
    <row r="32" spans="1:5">
      <c r="A32">
        <v>798</v>
      </c>
      <c r="B32">
        <v>798</v>
      </c>
      <c r="C32">
        <f t="shared" si="0"/>
        <v>0.17142857142857143</v>
      </c>
      <c r="D32">
        <f t="shared" si="1"/>
        <v>0</v>
      </c>
      <c r="E32">
        <f t="shared" si="2"/>
        <v>0</v>
      </c>
    </row>
    <row r="33" spans="1:5">
      <c r="A33">
        <v>807</v>
      </c>
      <c r="B33">
        <v>807</v>
      </c>
      <c r="C33">
        <f t="shared" si="0"/>
        <v>0.17714285714285713</v>
      </c>
      <c r="D33">
        <f t="shared" si="1"/>
        <v>9</v>
      </c>
      <c r="E33">
        <f t="shared" si="2"/>
        <v>0.88668937951644811</v>
      </c>
    </row>
    <row r="34" spans="1:5">
      <c r="A34">
        <v>811</v>
      </c>
      <c r="B34">
        <v>811</v>
      </c>
      <c r="C34">
        <f t="shared" si="0"/>
        <v>0.18285714285714286</v>
      </c>
      <c r="D34">
        <f t="shared" si="1"/>
        <v>4</v>
      </c>
      <c r="E34">
        <f t="shared" si="2"/>
        <v>0.62009428209863793</v>
      </c>
    </row>
    <row r="35" spans="1:5">
      <c r="A35">
        <v>811</v>
      </c>
      <c r="B35">
        <v>811</v>
      </c>
      <c r="C35">
        <f t="shared" si="0"/>
        <v>0.18857142857142858</v>
      </c>
      <c r="D35">
        <f t="shared" si="1"/>
        <v>0</v>
      </c>
      <c r="E35">
        <f t="shared" si="2"/>
        <v>0</v>
      </c>
    </row>
    <row r="36" spans="1:5">
      <c r="A36">
        <v>812</v>
      </c>
      <c r="B36">
        <v>812</v>
      </c>
      <c r="C36">
        <f t="shared" si="0"/>
        <v>0.19428571428571428</v>
      </c>
      <c r="D36">
        <f t="shared" si="1"/>
        <v>1</v>
      </c>
      <c r="E36">
        <f t="shared" si="2"/>
        <v>0.21491088233708699</v>
      </c>
    </row>
    <row r="37" spans="1:5">
      <c r="A37">
        <v>816</v>
      </c>
      <c r="B37">
        <v>816</v>
      </c>
      <c r="C37">
        <f t="shared" si="0"/>
        <v>0.2</v>
      </c>
      <c r="D37">
        <f t="shared" si="1"/>
        <v>4</v>
      </c>
      <c r="E37">
        <f t="shared" si="2"/>
        <v>0.62009428209863793</v>
      </c>
    </row>
    <row r="38" spans="1:5">
      <c r="A38">
        <v>816</v>
      </c>
      <c r="B38">
        <v>816</v>
      </c>
      <c r="C38">
        <f t="shared" si="0"/>
        <v>0.20571428571428571</v>
      </c>
      <c r="D38">
        <f t="shared" si="1"/>
        <v>0</v>
      </c>
      <c r="E38">
        <f t="shared" si="2"/>
        <v>0</v>
      </c>
    </row>
    <row r="39" spans="1:5">
      <c r="A39">
        <v>817</v>
      </c>
      <c r="B39">
        <v>817</v>
      </c>
      <c r="C39">
        <f t="shared" si="0"/>
        <v>0.21142857142857144</v>
      </c>
      <c r="D39">
        <f t="shared" si="1"/>
        <v>1</v>
      </c>
      <c r="E39">
        <f t="shared" si="2"/>
        <v>0.21491088233708699</v>
      </c>
    </row>
    <row r="40" spans="1:5">
      <c r="A40">
        <v>820</v>
      </c>
      <c r="B40">
        <v>820</v>
      </c>
      <c r="C40">
        <f t="shared" si="0"/>
        <v>0.21714285714285714</v>
      </c>
      <c r="D40">
        <f t="shared" si="1"/>
        <v>3</v>
      </c>
      <c r="E40">
        <f t="shared" si="2"/>
        <v>0.51609860670049568</v>
      </c>
    </row>
    <row r="41" spans="1:5">
      <c r="A41">
        <v>825</v>
      </c>
      <c r="B41">
        <v>825</v>
      </c>
      <c r="C41">
        <f t="shared" si="0"/>
        <v>0.22285714285714286</v>
      </c>
      <c r="D41">
        <f t="shared" si="1"/>
        <v>5</v>
      </c>
      <c r="E41">
        <f t="shared" si="2"/>
        <v>0.70174015513772403</v>
      </c>
    </row>
    <row r="42" spans="1:5">
      <c r="A42">
        <v>829</v>
      </c>
      <c r="B42">
        <v>829</v>
      </c>
      <c r="C42">
        <f t="shared" si="0"/>
        <v>0.22857142857142856</v>
      </c>
      <c r="D42">
        <f t="shared" si="1"/>
        <v>4</v>
      </c>
      <c r="E42">
        <f t="shared" si="2"/>
        <v>0.62009428209863793</v>
      </c>
    </row>
    <row r="43" spans="1:5">
      <c r="A43">
        <v>830</v>
      </c>
      <c r="B43">
        <v>830</v>
      </c>
      <c r="C43">
        <f t="shared" si="0"/>
        <v>0.23428571428571429</v>
      </c>
      <c r="D43">
        <f t="shared" si="1"/>
        <v>1</v>
      </c>
      <c r="E43">
        <f t="shared" si="2"/>
        <v>0.21491088233708699</v>
      </c>
    </row>
    <row r="44" spans="1:5">
      <c r="A44">
        <v>835</v>
      </c>
      <c r="B44">
        <v>835</v>
      </c>
      <c r="C44">
        <f t="shared" si="0"/>
        <v>0.24</v>
      </c>
      <c r="D44">
        <f t="shared" si="1"/>
        <v>5</v>
      </c>
      <c r="E44">
        <f t="shared" si="2"/>
        <v>0.70174015513772403</v>
      </c>
    </row>
    <row r="45" spans="1:5">
      <c r="A45">
        <v>836</v>
      </c>
      <c r="B45">
        <v>836</v>
      </c>
      <c r="C45">
        <f t="shared" si="0"/>
        <v>0.24571428571428572</v>
      </c>
      <c r="D45">
        <f t="shared" si="1"/>
        <v>1</v>
      </c>
      <c r="E45">
        <f t="shared" si="2"/>
        <v>0.21491088233708699</v>
      </c>
    </row>
    <row r="46" spans="1:5">
      <c r="A46">
        <v>837</v>
      </c>
      <c r="B46">
        <v>837</v>
      </c>
      <c r="C46">
        <f t="shared" si="0"/>
        <v>0.25142857142857145</v>
      </c>
      <c r="D46">
        <f t="shared" si="1"/>
        <v>1</v>
      </c>
      <c r="E46">
        <f t="shared" si="2"/>
        <v>0.21491088233708699</v>
      </c>
    </row>
    <row r="47" spans="1:5">
      <c r="A47">
        <v>843</v>
      </c>
      <c r="B47">
        <v>841</v>
      </c>
      <c r="C47">
        <f t="shared" si="0"/>
        <v>0.25714285714285712</v>
      </c>
      <c r="D47">
        <f t="shared" si="1"/>
        <v>4</v>
      </c>
      <c r="E47">
        <f t="shared" si="2"/>
        <v>0.62009428209863793</v>
      </c>
    </row>
    <row r="48" spans="1:5">
      <c r="A48">
        <v>841</v>
      </c>
      <c r="B48">
        <v>843</v>
      </c>
      <c r="C48">
        <f t="shared" si="0"/>
        <v>0.26285714285714284</v>
      </c>
      <c r="D48">
        <f t="shared" si="1"/>
        <v>2</v>
      </c>
      <c r="E48">
        <f t="shared" si="2"/>
        <v>0.38363507732726865</v>
      </c>
    </row>
    <row r="49" spans="1:5">
      <c r="A49">
        <v>843</v>
      </c>
      <c r="B49">
        <v>843</v>
      </c>
      <c r="C49">
        <f t="shared" si="0"/>
        <v>0.26857142857142857</v>
      </c>
      <c r="D49">
        <f t="shared" si="1"/>
        <v>0</v>
      </c>
      <c r="E49">
        <f t="shared" si="2"/>
        <v>0</v>
      </c>
    </row>
    <row r="50" spans="1:5">
      <c r="A50">
        <v>846</v>
      </c>
      <c r="B50">
        <v>846</v>
      </c>
      <c r="C50">
        <f t="shared" si="0"/>
        <v>0.2742857142857143</v>
      </c>
      <c r="D50">
        <f t="shared" si="1"/>
        <v>3</v>
      </c>
      <c r="E50">
        <f t="shared" si="2"/>
        <v>0.51609860670049568</v>
      </c>
    </row>
    <row r="51" spans="1:5">
      <c r="A51">
        <v>849</v>
      </c>
      <c r="B51">
        <v>849</v>
      </c>
      <c r="C51">
        <f t="shared" si="0"/>
        <v>0.28000000000000003</v>
      </c>
      <c r="D51">
        <f t="shared" si="1"/>
        <v>3</v>
      </c>
      <c r="E51">
        <f t="shared" si="2"/>
        <v>0.51609860670049568</v>
      </c>
    </row>
    <row r="52" spans="1:5">
      <c r="A52">
        <v>850</v>
      </c>
      <c r="B52">
        <v>850</v>
      </c>
      <c r="C52">
        <f t="shared" si="0"/>
        <v>0.2857142857142857</v>
      </c>
      <c r="D52">
        <f t="shared" si="1"/>
        <v>1</v>
      </c>
      <c r="E52">
        <f t="shared" si="2"/>
        <v>0.21491088233708699</v>
      </c>
    </row>
    <row r="53" spans="1:5">
      <c r="A53">
        <v>866</v>
      </c>
      <c r="B53">
        <v>866</v>
      </c>
      <c r="C53">
        <f t="shared" si="0"/>
        <v>0.29142857142857143</v>
      </c>
      <c r="D53">
        <f t="shared" si="1"/>
        <v>16</v>
      </c>
      <c r="E53">
        <f t="shared" si="2"/>
        <v>0.97916932608901119</v>
      </c>
    </row>
    <row r="54" spans="1:5">
      <c r="A54">
        <v>873</v>
      </c>
      <c r="B54">
        <v>873</v>
      </c>
      <c r="C54">
        <f t="shared" si="0"/>
        <v>0.29714285714285715</v>
      </c>
      <c r="D54">
        <f t="shared" si="1"/>
        <v>7</v>
      </c>
      <c r="E54">
        <f t="shared" si="2"/>
        <v>0.81616309378508245</v>
      </c>
    </row>
    <row r="55" spans="1:5">
      <c r="A55">
        <v>885</v>
      </c>
      <c r="B55">
        <v>885</v>
      </c>
      <c r="C55">
        <f t="shared" si="0"/>
        <v>0.30285714285714288</v>
      </c>
      <c r="D55">
        <f t="shared" si="1"/>
        <v>12</v>
      </c>
      <c r="E55">
        <f t="shared" si="2"/>
        <v>0.94516883287237796</v>
      </c>
    </row>
    <row r="56" spans="1:5">
      <c r="A56">
        <v>896</v>
      </c>
      <c r="B56">
        <v>896</v>
      </c>
      <c r="C56">
        <f t="shared" si="0"/>
        <v>0.30857142857142855</v>
      </c>
      <c r="D56">
        <f t="shared" si="1"/>
        <v>11</v>
      </c>
      <c r="E56">
        <f t="shared" si="2"/>
        <v>0.93015930816765635</v>
      </c>
    </row>
    <row r="57" spans="1:5">
      <c r="A57">
        <v>900</v>
      </c>
      <c r="B57">
        <v>900</v>
      </c>
      <c r="C57">
        <f t="shared" si="0"/>
        <v>0.31428571428571428</v>
      </c>
      <c r="D57">
        <f t="shared" si="1"/>
        <v>4</v>
      </c>
      <c r="E57">
        <f t="shared" si="2"/>
        <v>0.62009428209863793</v>
      </c>
    </row>
    <row r="58" spans="1:5">
      <c r="A58">
        <v>911</v>
      </c>
      <c r="B58">
        <v>911</v>
      </c>
      <c r="C58">
        <f t="shared" si="0"/>
        <v>0.32</v>
      </c>
      <c r="D58">
        <f t="shared" si="1"/>
        <v>11</v>
      </c>
      <c r="E58">
        <f t="shared" si="2"/>
        <v>0.93015930816765635</v>
      </c>
    </row>
    <row r="59" spans="1:5">
      <c r="A59">
        <v>912</v>
      </c>
      <c r="B59">
        <v>912</v>
      </c>
      <c r="C59">
        <f t="shared" si="0"/>
        <v>0.32571428571428573</v>
      </c>
      <c r="D59">
        <f t="shared" si="1"/>
        <v>1</v>
      </c>
      <c r="E59">
        <f t="shared" si="2"/>
        <v>0.21491088233708699</v>
      </c>
    </row>
    <row r="60" spans="1:5">
      <c r="A60">
        <v>912</v>
      </c>
      <c r="B60">
        <v>912</v>
      </c>
      <c r="C60">
        <f t="shared" si="0"/>
        <v>0.33142857142857141</v>
      </c>
      <c r="D60">
        <f t="shared" si="1"/>
        <v>0</v>
      </c>
      <c r="E60">
        <f t="shared" si="2"/>
        <v>0</v>
      </c>
    </row>
    <row r="61" spans="1:5">
      <c r="A61">
        <v>913</v>
      </c>
      <c r="B61">
        <v>913</v>
      </c>
      <c r="C61">
        <f t="shared" si="0"/>
        <v>0.33714285714285713</v>
      </c>
      <c r="D61">
        <f t="shared" si="1"/>
        <v>1</v>
      </c>
      <c r="E61">
        <f t="shared" si="2"/>
        <v>0.21491088233708699</v>
      </c>
    </row>
    <row r="62" spans="1:5">
      <c r="A62">
        <v>914</v>
      </c>
      <c r="B62">
        <v>914</v>
      </c>
      <c r="C62">
        <f t="shared" si="0"/>
        <v>0.34285714285714286</v>
      </c>
      <c r="D62">
        <f t="shared" si="1"/>
        <v>1</v>
      </c>
      <c r="E62">
        <f t="shared" si="2"/>
        <v>0.21491088233708699</v>
      </c>
    </row>
    <row r="63" spans="1:5">
      <c r="A63">
        <v>917</v>
      </c>
      <c r="B63">
        <v>917</v>
      </c>
      <c r="C63">
        <f t="shared" si="0"/>
        <v>0.34857142857142859</v>
      </c>
      <c r="D63">
        <f t="shared" si="1"/>
        <v>3</v>
      </c>
      <c r="E63">
        <f t="shared" si="2"/>
        <v>0.51609860670049568</v>
      </c>
    </row>
    <row r="64" spans="1:5">
      <c r="A64">
        <v>918</v>
      </c>
      <c r="B64">
        <v>918</v>
      </c>
      <c r="C64">
        <f t="shared" si="0"/>
        <v>0.35428571428571426</v>
      </c>
      <c r="D64">
        <f t="shared" si="1"/>
        <v>1</v>
      </c>
      <c r="E64">
        <f t="shared" si="2"/>
        <v>0.21491088233708699</v>
      </c>
    </row>
    <row r="65" spans="1:5">
      <c r="A65">
        <v>926</v>
      </c>
      <c r="B65">
        <v>926</v>
      </c>
      <c r="C65">
        <f t="shared" si="0"/>
        <v>0.36</v>
      </c>
      <c r="D65">
        <f t="shared" si="1"/>
        <v>8</v>
      </c>
      <c r="E65">
        <f t="shared" si="2"/>
        <v>0.85567164550585062</v>
      </c>
    </row>
    <row r="66" spans="1:5">
      <c r="A66">
        <v>928</v>
      </c>
      <c r="B66">
        <v>928</v>
      </c>
      <c r="C66">
        <f t="shared" si="0"/>
        <v>0.36571428571428571</v>
      </c>
      <c r="D66">
        <f t="shared" si="1"/>
        <v>2</v>
      </c>
      <c r="E66">
        <f t="shared" si="2"/>
        <v>0.38363507732726865</v>
      </c>
    </row>
    <row r="67" spans="1:5">
      <c r="A67">
        <v>930</v>
      </c>
      <c r="B67">
        <v>930</v>
      </c>
      <c r="C67">
        <f t="shared" si="0"/>
        <v>0.37142857142857144</v>
      </c>
      <c r="D67">
        <f t="shared" si="1"/>
        <v>2</v>
      </c>
      <c r="E67">
        <f t="shared" si="2"/>
        <v>0.38363507732726865</v>
      </c>
    </row>
    <row r="68" spans="1:5">
      <c r="A68">
        <v>933</v>
      </c>
      <c r="B68">
        <v>933</v>
      </c>
      <c r="C68">
        <f t="shared" ref="C68:C131" si="3">ROW(B66)/175</f>
        <v>0.37714285714285717</v>
      </c>
      <c r="D68">
        <f t="shared" si="1"/>
        <v>3</v>
      </c>
      <c r="E68">
        <f t="shared" si="2"/>
        <v>0.51609860670049568</v>
      </c>
    </row>
    <row r="69" spans="1:5">
      <c r="A69">
        <v>934</v>
      </c>
      <c r="B69">
        <v>934</v>
      </c>
      <c r="C69">
        <f t="shared" si="3"/>
        <v>0.38285714285714284</v>
      </c>
      <c r="D69">
        <f t="shared" si="1"/>
        <v>1</v>
      </c>
      <c r="E69">
        <f t="shared" si="2"/>
        <v>0.21491088233708699</v>
      </c>
    </row>
    <row r="70" spans="1:5">
      <c r="A70">
        <v>941</v>
      </c>
      <c r="B70">
        <v>941</v>
      </c>
      <c r="C70">
        <f t="shared" si="3"/>
        <v>0.38857142857142857</v>
      </c>
      <c r="D70">
        <f t="shared" ref="D70:D133" si="4">B70-B69</f>
        <v>7</v>
      </c>
      <c r="E70">
        <f t="shared" ref="E70:E133" si="5" xml:space="preserve"> 1 - EXP(- $D$179 * D70)</f>
        <v>0.81616309378508245</v>
      </c>
    </row>
    <row r="71" spans="1:5">
      <c r="A71">
        <v>941</v>
      </c>
      <c r="B71">
        <v>941</v>
      </c>
      <c r="C71">
        <f t="shared" si="3"/>
        <v>0.39428571428571429</v>
      </c>
      <c r="D71">
        <f t="shared" si="4"/>
        <v>0</v>
      </c>
      <c r="E71">
        <f t="shared" si="5"/>
        <v>0</v>
      </c>
    </row>
    <row r="72" spans="1:5">
      <c r="A72">
        <v>961</v>
      </c>
      <c r="B72">
        <v>961</v>
      </c>
      <c r="C72">
        <f t="shared" si="3"/>
        <v>0.4</v>
      </c>
      <c r="D72">
        <f t="shared" si="4"/>
        <v>20</v>
      </c>
      <c r="E72">
        <f t="shared" si="5"/>
        <v>0.99208630787347662</v>
      </c>
    </row>
    <row r="73" spans="1:5">
      <c r="A73">
        <v>968</v>
      </c>
      <c r="B73">
        <v>968</v>
      </c>
      <c r="C73">
        <f t="shared" si="3"/>
        <v>0.40571428571428569</v>
      </c>
      <c r="D73">
        <f t="shared" si="4"/>
        <v>7</v>
      </c>
      <c r="E73">
        <f t="shared" si="5"/>
        <v>0.81616309378508245</v>
      </c>
    </row>
    <row r="74" spans="1:5">
      <c r="A74">
        <v>969</v>
      </c>
      <c r="B74">
        <v>969</v>
      </c>
      <c r="C74">
        <f t="shared" si="3"/>
        <v>0.41142857142857142</v>
      </c>
      <c r="D74">
        <f t="shared" si="4"/>
        <v>1</v>
      </c>
      <c r="E74">
        <f t="shared" si="5"/>
        <v>0.21491088233708699</v>
      </c>
    </row>
    <row r="75" spans="1:5">
      <c r="A75">
        <v>969</v>
      </c>
      <c r="B75">
        <v>969</v>
      </c>
      <c r="C75">
        <f t="shared" si="3"/>
        <v>0.41714285714285715</v>
      </c>
      <c r="D75">
        <f t="shared" si="4"/>
        <v>0</v>
      </c>
      <c r="E75">
        <f t="shared" si="5"/>
        <v>0</v>
      </c>
    </row>
    <row r="76" spans="1:5">
      <c r="A76">
        <v>976</v>
      </c>
      <c r="B76">
        <v>976</v>
      </c>
      <c r="C76">
        <f t="shared" si="3"/>
        <v>0.42285714285714288</v>
      </c>
      <c r="D76">
        <f t="shared" si="4"/>
        <v>7</v>
      </c>
      <c r="E76">
        <f t="shared" si="5"/>
        <v>0.81616309378508245</v>
      </c>
    </row>
    <row r="77" spans="1:5">
      <c r="A77">
        <v>982</v>
      </c>
      <c r="B77">
        <v>982</v>
      </c>
      <c r="C77">
        <f t="shared" si="3"/>
        <v>0.42857142857142855</v>
      </c>
      <c r="D77">
        <f t="shared" si="4"/>
        <v>6</v>
      </c>
      <c r="E77">
        <f t="shared" si="5"/>
        <v>0.76583944156279848</v>
      </c>
    </row>
    <row r="78" spans="1:5">
      <c r="A78">
        <v>988</v>
      </c>
      <c r="B78">
        <v>988</v>
      </c>
      <c r="C78">
        <f t="shared" si="3"/>
        <v>0.43428571428571427</v>
      </c>
      <c r="D78">
        <f t="shared" si="4"/>
        <v>6</v>
      </c>
      <c r="E78">
        <f t="shared" si="5"/>
        <v>0.76583944156279848</v>
      </c>
    </row>
    <row r="79" spans="1:5">
      <c r="A79">
        <v>994</v>
      </c>
      <c r="B79">
        <v>994</v>
      </c>
      <c r="C79">
        <f t="shared" si="3"/>
        <v>0.44</v>
      </c>
      <c r="D79">
        <f t="shared" si="4"/>
        <v>6</v>
      </c>
      <c r="E79">
        <f t="shared" si="5"/>
        <v>0.76583944156279848</v>
      </c>
    </row>
    <row r="80" spans="1:5">
      <c r="A80">
        <v>995</v>
      </c>
      <c r="B80">
        <v>995</v>
      </c>
      <c r="C80">
        <f t="shared" si="3"/>
        <v>0.44571428571428573</v>
      </c>
      <c r="D80">
        <f t="shared" si="4"/>
        <v>1</v>
      </c>
      <c r="E80">
        <f t="shared" si="5"/>
        <v>0.21491088233708699</v>
      </c>
    </row>
    <row r="81" spans="1:5">
      <c r="A81">
        <v>997</v>
      </c>
      <c r="B81">
        <v>997</v>
      </c>
      <c r="C81">
        <f t="shared" si="3"/>
        <v>0.4514285714285714</v>
      </c>
      <c r="D81">
        <f t="shared" si="4"/>
        <v>2</v>
      </c>
      <c r="E81">
        <f t="shared" si="5"/>
        <v>0.38363507732726865</v>
      </c>
    </row>
    <row r="82" spans="1:5">
      <c r="A82">
        <v>997</v>
      </c>
      <c r="B82">
        <v>997</v>
      </c>
      <c r="C82">
        <f t="shared" si="3"/>
        <v>0.45714285714285713</v>
      </c>
      <c r="D82">
        <f t="shared" si="4"/>
        <v>0</v>
      </c>
      <c r="E82">
        <f t="shared" si="5"/>
        <v>0</v>
      </c>
    </row>
    <row r="83" spans="1:5">
      <c r="A83">
        <v>1006</v>
      </c>
      <c r="B83">
        <v>1006</v>
      </c>
      <c r="C83">
        <f t="shared" si="3"/>
        <v>0.46285714285714286</v>
      </c>
      <c r="D83">
        <f t="shared" si="4"/>
        <v>9</v>
      </c>
      <c r="E83">
        <f t="shared" si="5"/>
        <v>0.88668937951644811</v>
      </c>
    </row>
    <row r="84" spans="1:5">
      <c r="A84">
        <v>1010</v>
      </c>
      <c r="B84">
        <v>1010</v>
      </c>
      <c r="C84">
        <f t="shared" si="3"/>
        <v>0.46857142857142858</v>
      </c>
      <c r="D84">
        <f t="shared" si="4"/>
        <v>4</v>
      </c>
      <c r="E84">
        <f t="shared" si="5"/>
        <v>0.62009428209863793</v>
      </c>
    </row>
    <row r="85" spans="1:5">
      <c r="A85">
        <v>1012</v>
      </c>
      <c r="B85">
        <v>1012</v>
      </c>
      <c r="C85">
        <f t="shared" si="3"/>
        <v>0.47428571428571431</v>
      </c>
      <c r="D85">
        <f t="shared" si="4"/>
        <v>2</v>
      </c>
      <c r="E85">
        <f t="shared" si="5"/>
        <v>0.38363507732726865</v>
      </c>
    </row>
    <row r="86" spans="1:5">
      <c r="A86">
        <v>1013</v>
      </c>
      <c r="B86">
        <v>1013</v>
      </c>
      <c r="C86">
        <f t="shared" si="3"/>
        <v>0.48</v>
      </c>
      <c r="D86">
        <f t="shared" si="4"/>
        <v>1</v>
      </c>
      <c r="E86">
        <f t="shared" si="5"/>
        <v>0.21491088233708699</v>
      </c>
    </row>
    <row r="87" spans="1:5">
      <c r="A87">
        <v>1014</v>
      </c>
      <c r="B87">
        <v>1014</v>
      </c>
      <c r="C87">
        <f t="shared" si="3"/>
        <v>0.48571428571428571</v>
      </c>
      <c r="D87">
        <f t="shared" si="4"/>
        <v>1</v>
      </c>
      <c r="E87">
        <f t="shared" si="5"/>
        <v>0.21491088233708699</v>
      </c>
    </row>
    <row r="88" spans="1:5">
      <c r="A88">
        <v>1016</v>
      </c>
      <c r="B88">
        <v>1016</v>
      </c>
      <c r="C88">
        <f t="shared" si="3"/>
        <v>0.49142857142857144</v>
      </c>
      <c r="D88">
        <f t="shared" si="4"/>
        <v>2</v>
      </c>
      <c r="E88">
        <f t="shared" si="5"/>
        <v>0.38363507732726865</v>
      </c>
    </row>
    <row r="89" spans="1:5">
      <c r="A89">
        <v>1022</v>
      </c>
      <c r="B89">
        <v>1022</v>
      </c>
      <c r="C89">
        <f t="shared" si="3"/>
        <v>0.49714285714285716</v>
      </c>
      <c r="D89">
        <f t="shared" si="4"/>
        <v>6</v>
      </c>
      <c r="E89">
        <f t="shared" si="5"/>
        <v>0.76583944156279848</v>
      </c>
    </row>
    <row r="90" spans="1:5">
      <c r="A90">
        <v>1026</v>
      </c>
      <c r="B90">
        <v>1026</v>
      </c>
      <c r="C90">
        <f t="shared" si="3"/>
        <v>0.50285714285714289</v>
      </c>
      <c r="D90">
        <f t="shared" si="4"/>
        <v>4</v>
      </c>
      <c r="E90">
        <f t="shared" si="5"/>
        <v>0.62009428209863793</v>
      </c>
    </row>
    <row r="91" spans="1:5">
      <c r="A91">
        <v>1036</v>
      </c>
      <c r="B91">
        <v>1036</v>
      </c>
      <c r="C91">
        <f t="shared" si="3"/>
        <v>0.50857142857142856</v>
      </c>
      <c r="D91">
        <f t="shared" si="4"/>
        <v>10</v>
      </c>
      <c r="E91">
        <f t="shared" si="5"/>
        <v>0.91104106494273107</v>
      </c>
    </row>
    <row r="92" spans="1:5">
      <c r="A92">
        <v>1039</v>
      </c>
      <c r="B92">
        <v>1039</v>
      </c>
      <c r="C92">
        <f t="shared" si="3"/>
        <v>0.51428571428571423</v>
      </c>
      <c r="D92">
        <f t="shared" si="4"/>
        <v>3</v>
      </c>
      <c r="E92">
        <f t="shared" si="5"/>
        <v>0.51609860670049568</v>
      </c>
    </row>
    <row r="93" spans="1:5">
      <c r="A93">
        <v>1040</v>
      </c>
      <c r="B93">
        <v>1040</v>
      </c>
      <c r="C93">
        <f t="shared" si="3"/>
        <v>0.52</v>
      </c>
      <c r="D93">
        <f t="shared" si="4"/>
        <v>1</v>
      </c>
      <c r="E93">
        <f t="shared" si="5"/>
        <v>0.21491088233708699</v>
      </c>
    </row>
    <row r="94" spans="1:5">
      <c r="A94">
        <v>1045</v>
      </c>
      <c r="B94">
        <v>1045</v>
      </c>
      <c r="C94">
        <f t="shared" si="3"/>
        <v>0.52571428571428569</v>
      </c>
      <c r="D94">
        <f t="shared" si="4"/>
        <v>5</v>
      </c>
      <c r="E94">
        <f t="shared" si="5"/>
        <v>0.70174015513772403</v>
      </c>
    </row>
    <row r="95" spans="1:5">
      <c r="A95">
        <v>1052</v>
      </c>
      <c r="B95">
        <v>1052</v>
      </c>
      <c r="C95">
        <f t="shared" si="3"/>
        <v>0.53142857142857147</v>
      </c>
      <c r="D95">
        <f t="shared" si="4"/>
        <v>7</v>
      </c>
      <c r="E95">
        <f t="shared" si="5"/>
        <v>0.81616309378508245</v>
      </c>
    </row>
    <row r="96" spans="1:5">
      <c r="A96">
        <v>1055</v>
      </c>
      <c r="B96">
        <v>1055</v>
      </c>
      <c r="C96">
        <f t="shared" si="3"/>
        <v>0.53714285714285714</v>
      </c>
      <c r="D96">
        <f t="shared" si="4"/>
        <v>3</v>
      </c>
      <c r="E96">
        <f t="shared" si="5"/>
        <v>0.51609860670049568</v>
      </c>
    </row>
    <row r="97" spans="1:5">
      <c r="A97">
        <v>1062</v>
      </c>
      <c r="B97">
        <v>1062</v>
      </c>
      <c r="C97">
        <f t="shared" si="3"/>
        <v>0.54285714285714282</v>
      </c>
      <c r="D97">
        <f t="shared" si="4"/>
        <v>7</v>
      </c>
      <c r="E97">
        <f t="shared" si="5"/>
        <v>0.81616309378508245</v>
      </c>
    </row>
    <row r="98" spans="1:5">
      <c r="A98">
        <v>1065</v>
      </c>
      <c r="B98">
        <v>1065</v>
      </c>
      <c r="C98">
        <f t="shared" si="3"/>
        <v>0.5485714285714286</v>
      </c>
      <c r="D98">
        <f t="shared" si="4"/>
        <v>3</v>
      </c>
      <c r="E98">
        <f t="shared" si="5"/>
        <v>0.51609860670049568</v>
      </c>
    </row>
    <row r="99" spans="1:5">
      <c r="A99">
        <v>1068</v>
      </c>
      <c r="B99">
        <v>1068</v>
      </c>
      <c r="C99">
        <f t="shared" si="3"/>
        <v>0.55428571428571427</v>
      </c>
      <c r="D99">
        <f t="shared" si="4"/>
        <v>3</v>
      </c>
      <c r="E99">
        <f t="shared" si="5"/>
        <v>0.51609860670049568</v>
      </c>
    </row>
    <row r="100" spans="1:5">
      <c r="A100">
        <v>1071</v>
      </c>
      <c r="B100">
        <v>1071</v>
      </c>
      <c r="C100">
        <f t="shared" si="3"/>
        <v>0.56000000000000005</v>
      </c>
      <c r="D100">
        <f t="shared" si="4"/>
        <v>3</v>
      </c>
      <c r="E100">
        <f t="shared" si="5"/>
        <v>0.51609860670049568</v>
      </c>
    </row>
    <row r="101" spans="1:5">
      <c r="A101">
        <v>1071</v>
      </c>
      <c r="B101">
        <v>1071</v>
      </c>
      <c r="C101">
        <f t="shared" si="3"/>
        <v>0.56571428571428573</v>
      </c>
      <c r="D101">
        <f t="shared" si="4"/>
        <v>0</v>
      </c>
      <c r="E101">
        <f t="shared" si="5"/>
        <v>0</v>
      </c>
    </row>
    <row r="102" spans="1:5">
      <c r="A102">
        <v>1072</v>
      </c>
      <c r="B102">
        <v>1072</v>
      </c>
      <c r="C102">
        <f t="shared" si="3"/>
        <v>0.5714285714285714</v>
      </c>
      <c r="D102">
        <f t="shared" si="4"/>
        <v>1</v>
      </c>
      <c r="E102">
        <f t="shared" si="5"/>
        <v>0.21491088233708699</v>
      </c>
    </row>
    <row r="103" spans="1:5">
      <c r="A103">
        <v>1072</v>
      </c>
      <c r="B103">
        <v>1072</v>
      </c>
      <c r="C103">
        <f t="shared" si="3"/>
        <v>0.57714285714285718</v>
      </c>
      <c r="D103">
        <f t="shared" si="4"/>
        <v>0</v>
      </c>
      <c r="E103">
        <f t="shared" si="5"/>
        <v>0</v>
      </c>
    </row>
    <row r="104" spans="1:5">
      <c r="A104">
        <v>1076</v>
      </c>
      <c r="B104">
        <v>1076</v>
      </c>
      <c r="C104">
        <f t="shared" si="3"/>
        <v>0.58285714285714285</v>
      </c>
      <c r="D104">
        <f t="shared" si="4"/>
        <v>4</v>
      </c>
      <c r="E104">
        <f t="shared" si="5"/>
        <v>0.62009428209863793</v>
      </c>
    </row>
    <row r="105" spans="1:5">
      <c r="A105">
        <v>1078</v>
      </c>
      <c r="B105">
        <v>1078</v>
      </c>
      <c r="C105">
        <f t="shared" si="3"/>
        <v>0.58857142857142852</v>
      </c>
      <c r="D105">
        <f t="shared" si="4"/>
        <v>2</v>
      </c>
      <c r="E105">
        <f t="shared" si="5"/>
        <v>0.38363507732726865</v>
      </c>
    </row>
    <row r="106" spans="1:5">
      <c r="A106">
        <v>1081</v>
      </c>
      <c r="B106">
        <v>1081</v>
      </c>
      <c r="C106">
        <f t="shared" si="3"/>
        <v>0.59428571428571431</v>
      </c>
      <c r="D106">
        <f t="shared" si="4"/>
        <v>3</v>
      </c>
      <c r="E106">
        <f t="shared" si="5"/>
        <v>0.51609860670049568</v>
      </c>
    </row>
    <row r="107" spans="1:5">
      <c r="A107">
        <v>1092</v>
      </c>
      <c r="B107">
        <v>1092</v>
      </c>
      <c r="C107">
        <f t="shared" si="3"/>
        <v>0.6</v>
      </c>
      <c r="D107">
        <f t="shared" si="4"/>
        <v>11</v>
      </c>
      <c r="E107">
        <f t="shared" si="5"/>
        <v>0.93015930816765635</v>
      </c>
    </row>
    <row r="108" spans="1:5">
      <c r="A108">
        <v>1093</v>
      </c>
      <c r="B108">
        <v>1093</v>
      </c>
      <c r="C108">
        <f t="shared" si="3"/>
        <v>0.60571428571428576</v>
      </c>
      <c r="D108">
        <f t="shared" si="4"/>
        <v>1</v>
      </c>
      <c r="E108">
        <f t="shared" si="5"/>
        <v>0.21491088233708699</v>
      </c>
    </row>
    <row r="109" spans="1:5">
      <c r="A109">
        <v>1096</v>
      </c>
      <c r="B109">
        <v>1096</v>
      </c>
      <c r="C109">
        <f t="shared" si="3"/>
        <v>0.61142857142857143</v>
      </c>
      <c r="D109">
        <f t="shared" si="4"/>
        <v>3</v>
      </c>
      <c r="E109">
        <f t="shared" si="5"/>
        <v>0.51609860670049568</v>
      </c>
    </row>
    <row r="110" spans="1:5">
      <c r="A110">
        <v>1102</v>
      </c>
      <c r="B110">
        <v>1102</v>
      </c>
      <c r="C110">
        <f t="shared" si="3"/>
        <v>0.6171428571428571</v>
      </c>
      <c r="D110">
        <f t="shared" si="4"/>
        <v>6</v>
      </c>
      <c r="E110">
        <f t="shared" si="5"/>
        <v>0.76583944156279848</v>
      </c>
    </row>
    <row r="111" spans="1:5">
      <c r="A111">
        <v>1103</v>
      </c>
      <c r="B111">
        <v>1103</v>
      </c>
      <c r="C111">
        <f t="shared" si="3"/>
        <v>0.62285714285714289</v>
      </c>
      <c r="D111">
        <f t="shared" si="4"/>
        <v>1</v>
      </c>
      <c r="E111">
        <f t="shared" si="5"/>
        <v>0.21491088233708699</v>
      </c>
    </row>
    <row r="112" spans="1:5">
      <c r="A112">
        <v>1103</v>
      </c>
      <c r="B112">
        <v>1103</v>
      </c>
      <c r="C112">
        <f t="shared" si="3"/>
        <v>0.62857142857142856</v>
      </c>
      <c r="D112">
        <f t="shared" si="4"/>
        <v>0</v>
      </c>
      <c r="E112">
        <f t="shared" si="5"/>
        <v>0</v>
      </c>
    </row>
    <row r="113" spans="1:5">
      <c r="A113">
        <v>1105</v>
      </c>
      <c r="B113">
        <v>1105</v>
      </c>
      <c r="C113">
        <f t="shared" si="3"/>
        <v>0.63428571428571423</v>
      </c>
      <c r="D113">
        <f t="shared" si="4"/>
        <v>2</v>
      </c>
      <c r="E113">
        <f t="shared" si="5"/>
        <v>0.38363507732726865</v>
      </c>
    </row>
    <row r="114" spans="1:5">
      <c r="A114">
        <v>1106</v>
      </c>
      <c r="B114">
        <v>1106</v>
      </c>
      <c r="C114">
        <f t="shared" si="3"/>
        <v>0.64</v>
      </c>
      <c r="D114">
        <f t="shared" si="4"/>
        <v>1</v>
      </c>
      <c r="E114">
        <f t="shared" si="5"/>
        <v>0.21491088233708699</v>
      </c>
    </row>
    <row r="115" spans="1:5">
      <c r="A115">
        <v>1118</v>
      </c>
      <c r="B115">
        <v>1118</v>
      </c>
      <c r="C115">
        <f t="shared" si="3"/>
        <v>0.64571428571428569</v>
      </c>
      <c r="D115">
        <f t="shared" si="4"/>
        <v>12</v>
      </c>
      <c r="E115">
        <f t="shared" si="5"/>
        <v>0.94516883287237796</v>
      </c>
    </row>
    <row r="116" spans="1:5">
      <c r="A116">
        <v>1125</v>
      </c>
      <c r="B116">
        <v>1125</v>
      </c>
      <c r="C116">
        <f t="shared" si="3"/>
        <v>0.65142857142857147</v>
      </c>
      <c r="D116">
        <f t="shared" si="4"/>
        <v>7</v>
      </c>
      <c r="E116">
        <f t="shared" si="5"/>
        <v>0.81616309378508245</v>
      </c>
    </row>
    <row r="117" spans="1:5">
      <c r="A117">
        <v>1130</v>
      </c>
      <c r="B117">
        <v>1130</v>
      </c>
      <c r="C117">
        <f t="shared" si="3"/>
        <v>0.65714285714285714</v>
      </c>
      <c r="D117">
        <f t="shared" si="4"/>
        <v>5</v>
      </c>
      <c r="E117">
        <f t="shared" si="5"/>
        <v>0.70174015513772403</v>
      </c>
    </row>
    <row r="118" spans="1:5">
      <c r="A118">
        <v>1139</v>
      </c>
      <c r="B118">
        <v>1139</v>
      </c>
      <c r="C118">
        <f t="shared" si="3"/>
        <v>0.66285714285714281</v>
      </c>
      <c r="D118">
        <f t="shared" si="4"/>
        <v>9</v>
      </c>
      <c r="E118">
        <f t="shared" si="5"/>
        <v>0.88668937951644811</v>
      </c>
    </row>
    <row r="119" spans="1:5">
      <c r="A119">
        <v>1146</v>
      </c>
      <c r="B119">
        <v>1146</v>
      </c>
      <c r="C119">
        <f t="shared" si="3"/>
        <v>0.66857142857142859</v>
      </c>
      <c r="D119">
        <f t="shared" si="4"/>
        <v>7</v>
      </c>
      <c r="E119">
        <f t="shared" si="5"/>
        <v>0.81616309378508245</v>
      </c>
    </row>
    <row r="120" spans="1:5">
      <c r="A120">
        <v>1147</v>
      </c>
      <c r="B120">
        <v>1147</v>
      </c>
      <c r="C120">
        <f t="shared" si="3"/>
        <v>0.67428571428571427</v>
      </c>
      <c r="D120">
        <f t="shared" si="4"/>
        <v>1</v>
      </c>
      <c r="E120">
        <f t="shared" si="5"/>
        <v>0.21491088233708699</v>
      </c>
    </row>
    <row r="121" spans="1:5">
      <c r="A121">
        <v>1157</v>
      </c>
      <c r="B121">
        <v>1157</v>
      </c>
      <c r="C121">
        <f t="shared" si="3"/>
        <v>0.68</v>
      </c>
      <c r="D121">
        <f t="shared" si="4"/>
        <v>10</v>
      </c>
      <c r="E121">
        <f t="shared" si="5"/>
        <v>0.91104106494273107</v>
      </c>
    </row>
    <row r="122" spans="1:5">
      <c r="A122">
        <v>1161</v>
      </c>
      <c r="B122">
        <v>1161</v>
      </c>
      <c r="C122">
        <f t="shared" si="3"/>
        <v>0.68571428571428572</v>
      </c>
      <c r="D122">
        <f t="shared" si="4"/>
        <v>4</v>
      </c>
      <c r="E122">
        <f t="shared" si="5"/>
        <v>0.62009428209863793</v>
      </c>
    </row>
    <row r="123" spans="1:5">
      <c r="A123">
        <v>1168</v>
      </c>
      <c r="B123">
        <v>1168</v>
      </c>
      <c r="C123">
        <f t="shared" si="3"/>
        <v>0.69142857142857139</v>
      </c>
      <c r="D123">
        <f t="shared" si="4"/>
        <v>7</v>
      </c>
      <c r="E123">
        <f t="shared" si="5"/>
        <v>0.81616309378508245</v>
      </c>
    </row>
    <row r="124" spans="1:5">
      <c r="A124">
        <v>1178</v>
      </c>
      <c r="B124">
        <v>1178</v>
      </c>
      <c r="C124">
        <f t="shared" si="3"/>
        <v>0.69714285714285718</v>
      </c>
      <c r="D124">
        <f t="shared" si="4"/>
        <v>10</v>
      </c>
      <c r="E124">
        <f t="shared" si="5"/>
        <v>0.91104106494273107</v>
      </c>
    </row>
    <row r="125" spans="1:5">
      <c r="A125">
        <v>1180</v>
      </c>
      <c r="B125">
        <v>1180</v>
      </c>
      <c r="C125">
        <f t="shared" si="3"/>
        <v>0.70285714285714285</v>
      </c>
      <c r="D125">
        <f t="shared" si="4"/>
        <v>2</v>
      </c>
      <c r="E125">
        <f t="shared" si="5"/>
        <v>0.38363507732726865</v>
      </c>
    </row>
    <row r="126" spans="1:5">
      <c r="A126">
        <v>1181</v>
      </c>
      <c r="B126">
        <v>1181</v>
      </c>
      <c r="C126">
        <f t="shared" si="3"/>
        <v>0.70857142857142852</v>
      </c>
      <c r="D126">
        <f t="shared" si="4"/>
        <v>1</v>
      </c>
      <c r="E126">
        <f t="shared" si="5"/>
        <v>0.21491088233708699</v>
      </c>
    </row>
    <row r="127" spans="1:5">
      <c r="A127">
        <v>1182</v>
      </c>
      <c r="B127">
        <v>1182</v>
      </c>
      <c r="C127">
        <f t="shared" si="3"/>
        <v>0.7142857142857143</v>
      </c>
      <c r="D127">
        <f t="shared" si="4"/>
        <v>1</v>
      </c>
      <c r="E127">
        <f t="shared" si="5"/>
        <v>0.21491088233708699</v>
      </c>
    </row>
    <row r="128" spans="1:5">
      <c r="A128">
        <v>1184</v>
      </c>
      <c r="B128">
        <v>1184</v>
      </c>
      <c r="C128">
        <f t="shared" si="3"/>
        <v>0.72</v>
      </c>
      <c r="D128">
        <f t="shared" si="4"/>
        <v>2</v>
      </c>
      <c r="E128">
        <f t="shared" si="5"/>
        <v>0.38363507732726865</v>
      </c>
    </row>
    <row r="129" spans="1:5">
      <c r="A129">
        <v>1192</v>
      </c>
      <c r="B129">
        <v>1192</v>
      </c>
      <c r="C129">
        <f t="shared" si="3"/>
        <v>0.72571428571428576</v>
      </c>
      <c r="D129">
        <f t="shared" si="4"/>
        <v>8</v>
      </c>
      <c r="E129">
        <f t="shared" si="5"/>
        <v>0.85567164550585062</v>
      </c>
    </row>
    <row r="130" spans="1:5">
      <c r="A130">
        <v>1201</v>
      </c>
      <c r="B130">
        <v>1201</v>
      </c>
      <c r="C130">
        <f t="shared" si="3"/>
        <v>0.73142857142857143</v>
      </c>
      <c r="D130">
        <f t="shared" si="4"/>
        <v>9</v>
      </c>
      <c r="E130">
        <f t="shared" si="5"/>
        <v>0.88668937951644811</v>
      </c>
    </row>
    <row r="131" spans="1:5">
      <c r="A131">
        <v>1201</v>
      </c>
      <c r="B131">
        <v>1201</v>
      </c>
      <c r="C131">
        <f t="shared" si="3"/>
        <v>0.7371428571428571</v>
      </c>
      <c r="D131">
        <f t="shared" si="4"/>
        <v>0</v>
      </c>
      <c r="E131">
        <f t="shared" si="5"/>
        <v>0</v>
      </c>
    </row>
    <row r="132" spans="1:5">
      <c r="A132">
        <v>1204</v>
      </c>
      <c r="B132">
        <v>1204</v>
      </c>
      <c r="C132">
        <f t="shared" ref="C132:C176" si="6">ROW(B130)/175</f>
        <v>0.74285714285714288</v>
      </c>
      <c r="D132">
        <f t="shared" si="4"/>
        <v>3</v>
      </c>
      <c r="E132">
        <f t="shared" si="5"/>
        <v>0.51609860670049568</v>
      </c>
    </row>
    <row r="133" spans="1:5">
      <c r="A133">
        <v>1206</v>
      </c>
      <c r="B133">
        <v>1206</v>
      </c>
      <c r="C133">
        <f t="shared" si="6"/>
        <v>0.74857142857142855</v>
      </c>
      <c r="D133">
        <f t="shared" si="4"/>
        <v>2</v>
      </c>
      <c r="E133">
        <f t="shared" si="5"/>
        <v>0.38363507732726865</v>
      </c>
    </row>
    <row r="134" spans="1:5">
      <c r="A134">
        <v>1208</v>
      </c>
      <c r="B134">
        <v>1208</v>
      </c>
      <c r="C134">
        <f t="shared" si="6"/>
        <v>0.75428571428571434</v>
      </c>
      <c r="D134">
        <f t="shared" ref="D134:D177" si="7">B134-B133</f>
        <v>2</v>
      </c>
      <c r="E134">
        <f t="shared" ref="E134:E176" si="8" xml:space="preserve"> 1 - EXP(- $D$179 * D134)</f>
        <v>0.38363507732726865</v>
      </c>
    </row>
    <row r="135" spans="1:5">
      <c r="A135">
        <v>1208</v>
      </c>
      <c r="B135">
        <v>1208</v>
      </c>
      <c r="C135">
        <f t="shared" si="6"/>
        <v>0.76</v>
      </c>
      <c r="D135">
        <f t="shared" si="7"/>
        <v>0</v>
      </c>
      <c r="E135">
        <f t="shared" si="8"/>
        <v>0</v>
      </c>
    </row>
    <row r="136" spans="1:5">
      <c r="A136">
        <v>1210</v>
      </c>
      <c r="B136">
        <v>1210</v>
      </c>
      <c r="C136">
        <f t="shared" si="6"/>
        <v>0.76571428571428568</v>
      </c>
      <c r="D136">
        <f t="shared" si="7"/>
        <v>2</v>
      </c>
      <c r="E136">
        <f t="shared" si="8"/>
        <v>0.38363507732726865</v>
      </c>
    </row>
    <row r="137" spans="1:5">
      <c r="A137">
        <v>1223</v>
      </c>
      <c r="B137">
        <v>1223</v>
      </c>
      <c r="C137">
        <f t="shared" si="6"/>
        <v>0.77142857142857146</v>
      </c>
      <c r="D137">
        <f t="shared" si="7"/>
        <v>13</v>
      </c>
      <c r="E137">
        <f t="shared" si="8"/>
        <v>0.95695264737934749</v>
      </c>
    </row>
    <row r="138" spans="1:5">
      <c r="A138">
        <v>1225</v>
      </c>
      <c r="B138">
        <v>1225</v>
      </c>
      <c r="C138">
        <f t="shared" si="6"/>
        <v>0.77714285714285714</v>
      </c>
      <c r="D138">
        <f t="shared" si="7"/>
        <v>2</v>
      </c>
      <c r="E138">
        <f t="shared" si="8"/>
        <v>0.38363507732726865</v>
      </c>
    </row>
    <row r="139" spans="1:5">
      <c r="A139">
        <v>1228</v>
      </c>
      <c r="B139">
        <v>1228</v>
      </c>
      <c r="C139">
        <f t="shared" si="6"/>
        <v>0.78285714285714281</v>
      </c>
      <c r="D139">
        <f t="shared" si="7"/>
        <v>3</v>
      </c>
      <c r="E139">
        <f t="shared" si="8"/>
        <v>0.51609860670049568</v>
      </c>
    </row>
    <row r="140" spans="1:5">
      <c r="A140">
        <v>1233</v>
      </c>
      <c r="B140">
        <v>1233</v>
      </c>
      <c r="C140">
        <f t="shared" si="6"/>
        <v>0.78857142857142859</v>
      </c>
      <c r="D140">
        <f t="shared" si="7"/>
        <v>5</v>
      </c>
      <c r="E140">
        <f t="shared" si="8"/>
        <v>0.70174015513772403</v>
      </c>
    </row>
    <row r="141" spans="1:5">
      <c r="A141">
        <v>1235</v>
      </c>
      <c r="B141">
        <v>1235</v>
      </c>
      <c r="C141">
        <f t="shared" si="6"/>
        <v>0.79428571428571426</v>
      </c>
      <c r="D141">
        <f t="shared" si="7"/>
        <v>2</v>
      </c>
      <c r="E141">
        <f t="shared" si="8"/>
        <v>0.38363507732726865</v>
      </c>
    </row>
    <row r="142" spans="1:5">
      <c r="A142">
        <v>1251</v>
      </c>
      <c r="B142">
        <v>1251</v>
      </c>
      <c r="C142">
        <f t="shared" si="6"/>
        <v>0.8</v>
      </c>
      <c r="D142">
        <f t="shared" si="7"/>
        <v>16</v>
      </c>
      <c r="E142">
        <f t="shared" si="8"/>
        <v>0.97916932608901119</v>
      </c>
    </row>
    <row r="143" spans="1:5">
      <c r="A143">
        <v>1266</v>
      </c>
      <c r="B143">
        <v>1266</v>
      </c>
      <c r="C143">
        <f t="shared" si="6"/>
        <v>0.80571428571428572</v>
      </c>
      <c r="D143">
        <f t="shared" si="7"/>
        <v>15</v>
      </c>
      <c r="E143">
        <f t="shared" si="8"/>
        <v>0.97346712183070572</v>
      </c>
    </row>
    <row r="144" spans="1:5">
      <c r="A144">
        <v>1268</v>
      </c>
      <c r="B144">
        <v>1268</v>
      </c>
      <c r="C144">
        <f t="shared" si="6"/>
        <v>0.81142857142857139</v>
      </c>
      <c r="D144">
        <f t="shared" si="7"/>
        <v>2</v>
      </c>
      <c r="E144">
        <f t="shared" si="8"/>
        <v>0.38363507732726865</v>
      </c>
    </row>
    <row r="145" spans="1:5">
      <c r="A145">
        <v>1271</v>
      </c>
      <c r="B145">
        <v>1271</v>
      </c>
      <c r="C145">
        <f t="shared" si="6"/>
        <v>0.81714285714285717</v>
      </c>
      <c r="D145">
        <f t="shared" si="7"/>
        <v>3</v>
      </c>
      <c r="E145">
        <f t="shared" si="8"/>
        <v>0.51609860670049568</v>
      </c>
    </row>
    <row r="146" spans="1:5">
      <c r="A146">
        <v>1272</v>
      </c>
      <c r="B146">
        <v>1272</v>
      </c>
      <c r="C146">
        <f t="shared" si="6"/>
        <v>0.82285714285714284</v>
      </c>
      <c r="D146">
        <f t="shared" si="7"/>
        <v>1</v>
      </c>
      <c r="E146">
        <f t="shared" si="8"/>
        <v>0.21491088233708699</v>
      </c>
    </row>
    <row r="147" spans="1:5">
      <c r="A147">
        <v>1274</v>
      </c>
      <c r="B147">
        <v>1274</v>
      </c>
      <c r="C147">
        <f t="shared" si="6"/>
        <v>0.82857142857142863</v>
      </c>
      <c r="D147">
        <f t="shared" si="7"/>
        <v>2</v>
      </c>
      <c r="E147">
        <f t="shared" si="8"/>
        <v>0.38363507732726865</v>
      </c>
    </row>
    <row r="148" spans="1:5">
      <c r="A148">
        <v>1274</v>
      </c>
      <c r="B148">
        <v>1274</v>
      </c>
      <c r="C148">
        <f t="shared" si="6"/>
        <v>0.8342857142857143</v>
      </c>
      <c r="D148">
        <f t="shared" si="7"/>
        <v>0</v>
      </c>
      <c r="E148">
        <f t="shared" si="8"/>
        <v>0</v>
      </c>
    </row>
    <row r="149" spans="1:5">
      <c r="A149">
        <v>1278</v>
      </c>
      <c r="B149">
        <v>1278</v>
      </c>
      <c r="C149">
        <f t="shared" si="6"/>
        <v>0.84</v>
      </c>
      <c r="D149">
        <f t="shared" si="7"/>
        <v>4</v>
      </c>
      <c r="E149">
        <f t="shared" si="8"/>
        <v>0.62009428209863793</v>
      </c>
    </row>
    <row r="150" spans="1:5">
      <c r="A150">
        <v>1281</v>
      </c>
      <c r="B150">
        <v>1281</v>
      </c>
      <c r="C150">
        <f t="shared" si="6"/>
        <v>0.84571428571428575</v>
      </c>
      <c r="D150">
        <f t="shared" si="7"/>
        <v>3</v>
      </c>
      <c r="E150">
        <f t="shared" si="8"/>
        <v>0.51609860670049568</v>
      </c>
    </row>
    <row r="151" spans="1:5">
      <c r="A151">
        <v>1282</v>
      </c>
      <c r="B151">
        <v>1282</v>
      </c>
      <c r="C151">
        <f t="shared" si="6"/>
        <v>0.85142857142857142</v>
      </c>
      <c r="D151">
        <f t="shared" si="7"/>
        <v>1</v>
      </c>
      <c r="E151">
        <f t="shared" si="8"/>
        <v>0.21491088233708699</v>
      </c>
    </row>
    <row r="152" spans="1:5">
      <c r="A152">
        <v>1283</v>
      </c>
      <c r="B152">
        <v>1283</v>
      </c>
      <c r="C152">
        <f t="shared" si="6"/>
        <v>0.8571428571428571</v>
      </c>
      <c r="D152">
        <f t="shared" si="7"/>
        <v>1</v>
      </c>
      <c r="E152">
        <f t="shared" si="8"/>
        <v>0.21491088233708699</v>
      </c>
    </row>
    <row r="153" spans="1:5">
      <c r="A153">
        <v>1294</v>
      </c>
      <c r="B153">
        <v>1294</v>
      </c>
      <c r="C153">
        <f t="shared" si="6"/>
        <v>0.86285714285714288</v>
      </c>
      <c r="D153">
        <f t="shared" si="7"/>
        <v>11</v>
      </c>
      <c r="E153">
        <f t="shared" si="8"/>
        <v>0.93015930816765635</v>
      </c>
    </row>
    <row r="154" spans="1:5">
      <c r="A154">
        <v>1295</v>
      </c>
      <c r="B154">
        <v>1295</v>
      </c>
      <c r="C154">
        <f t="shared" si="6"/>
        <v>0.86857142857142855</v>
      </c>
      <c r="D154">
        <f t="shared" si="7"/>
        <v>1</v>
      </c>
      <c r="E154">
        <f t="shared" si="8"/>
        <v>0.21491088233708699</v>
      </c>
    </row>
    <row r="155" spans="1:5">
      <c r="A155">
        <v>1296</v>
      </c>
      <c r="B155">
        <v>1296</v>
      </c>
      <c r="C155">
        <f t="shared" si="6"/>
        <v>0.87428571428571433</v>
      </c>
      <c r="D155">
        <f t="shared" si="7"/>
        <v>1</v>
      </c>
      <c r="E155">
        <f t="shared" si="8"/>
        <v>0.21491088233708699</v>
      </c>
    </row>
    <row r="156" spans="1:5">
      <c r="A156">
        <v>1299</v>
      </c>
      <c r="B156">
        <v>1299</v>
      </c>
      <c r="C156">
        <f t="shared" si="6"/>
        <v>0.88</v>
      </c>
      <c r="D156">
        <f t="shared" si="7"/>
        <v>3</v>
      </c>
      <c r="E156">
        <f t="shared" si="8"/>
        <v>0.51609860670049568</v>
      </c>
    </row>
    <row r="157" spans="1:5">
      <c r="A157">
        <v>1318</v>
      </c>
      <c r="B157">
        <v>1318</v>
      </c>
      <c r="C157">
        <f t="shared" si="6"/>
        <v>0.88571428571428568</v>
      </c>
      <c r="D157">
        <f t="shared" si="7"/>
        <v>19</v>
      </c>
      <c r="E157">
        <f t="shared" si="8"/>
        <v>0.9899200078711049</v>
      </c>
    </row>
    <row r="158" spans="1:5">
      <c r="A158">
        <v>1319</v>
      </c>
      <c r="B158">
        <v>1319</v>
      </c>
      <c r="C158">
        <f t="shared" si="6"/>
        <v>0.89142857142857146</v>
      </c>
      <c r="D158">
        <f t="shared" si="7"/>
        <v>1</v>
      </c>
      <c r="E158">
        <f t="shared" si="8"/>
        <v>0.21491088233708699</v>
      </c>
    </row>
    <row r="159" spans="1:5">
      <c r="A159">
        <v>1324</v>
      </c>
      <c r="B159">
        <v>1324</v>
      </c>
      <c r="C159">
        <f t="shared" si="6"/>
        <v>0.89714285714285713</v>
      </c>
      <c r="D159">
        <f t="shared" si="7"/>
        <v>5</v>
      </c>
      <c r="E159">
        <f t="shared" si="8"/>
        <v>0.70174015513772403</v>
      </c>
    </row>
    <row r="160" spans="1:5">
      <c r="A160">
        <v>1331</v>
      </c>
      <c r="B160">
        <v>1331</v>
      </c>
      <c r="C160">
        <f t="shared" si="6"/>
        <v>0.9028571428571428</v>
      </c>
      <c r="D160">
        <f t="shared" si="7"/>
        <v>7</v>
      </c>
      <c r="E160">
        <f t="shared" si="8"/>
        <v>0.81616309378508245</v>
      </c>
    </row>
    <row r="161" spans="1:5">
      <c r="A161">
        <v>1332</v>
      </c>
      <c r="B161">
        <v>1332</v>
      </c>
      <c r="C161">
        <f t="shared" si="6"/>
        <v>0.90857142857142859</v>
      </c>
      <c r="D161">
        <f t="shared" si="7"/>
        <v>1</v>
      </c>
      <c r="E161">
        <f t="shared" si="8"/>
        <v>0.21491088233708699</v>
      </c>
    </row>
    <row r="162" spans="1:5">
      <c r="A162">
        <v>1338</v>
      </c>
      <c r="B162">
        <v>1338</v>
      </c>
      <c r="C162">
        <f t="shared" si="6"/>
        <v>0.91428571428571426</v>
      </c>
      <c r="D162">
        <f t="shared" si="7"/>
        <v>6</v>
      </c>
      <c r="E162">
        <f t="shared" si="8"/>
        <v>0.76583944156279848</v>
      </c>
    </row>
    <row r="163" spans="1:5">
      <c r="A163">
        <v>1340</v>
      </c>
      <c r="B163">
        <v>1340</v>
      </c>
      <c r="C163">
        <f t="shared" si="6"/>
        <v>0.92</v>
      </c>
      <c r="D163">
        <f t="shared" si="7"/>
        <v>2</v>
      </c>
      <c r="E163">
        <f t="shared" si="8"/>
        <v>0.38363507732726865</v>
      </c>
    </row>
    <row r="164" spans="1:5">
      <c r="A164">
        <v>1344</v>
      </c>
      <c r="B164">
        <v>1344</v>
      </c>
      <c r="C164">
        <f t="shared" si="6"/>
        <v>0.92571428571428571</v>
      </c>
      <c r="D164">
        <f t="shared" si="7"/>
        <v>4</v>
      </c>
      <c r="E164">
        <f t="shared" si="8"/>
        <v>0.62009428209863793</v>
      </c>
    </row>
    <row r="165" spans="1:5">
      <c r="A165">
        <v>1349</v>
      </c>
      <c r="B165">
        <v>1349</v>
      </c>
      <c r="C165">
        <f t="shared" si="6"/>
        <v>0.93142857142857138</v>
      </c>
      <c r="D165">
        <f t="shared" si="7"/>
        <v>5</v>
      </c>
      <c r="E165">
        <f t="shared" si="8"/>
        <v>0.70174015513772403</v>
      </c>
    </row>
    <row r="166" spans="1:5">
      <c r="A166">
        <v>1352</v>
      </c>
      <c r="B166">
        <v>1352</v>
      </c>
      <c r="C166">
        <f t="shared" si="6"/>
        <v>0.93714285714285717</v>
      </c>
      <c r="D166">
        <f t="shared" si="7"/>
        <v>3</v>
      </c>
      <c r="E166">
        <f t="shared" si="8"/>
        <v>0.51609860670049568</v>
      </c>
    </row>
    <row r="167" spans="1:5">
      <c r="A167">
        <v>1353</v>
      </c>
      <c r="B167">
        <v>1353</v>
      </c>
      <c r="C167">
        <f t="shared" si="6"/>
        <v>0.94285714285714284</v>
      </c>
      <c r="D167">
        <f t="shared" si="7"/>
        <v>1</v>
      </c>
      <c r="E167">
        <f t="shared" si="8"/>
        <v>0.21491088233708699</v>
      </c>
    </row>
    <row r="168" spans="1:5">
      <c r="A168">
        <v>1361</v>
      </c>
      <c r="B168">
        <v>1361</v>
      </c>
      <c r="C168">
        <f t="shared" si="6"/>
        <v>0.94857142857142862</v>
      </c>
      <c r="D168">
        <f t="shared" si="7"/>
        <v>8</v>
      </c>
      <c r="E168">
        <f t="shared" si="8"/>
        <v>0.85567164550585062</v>
      </c>
    </row>
    <row r="169" spans="1:5">
      <c r="A169">
        <v>1362</v>
      </c>
      <c r="B169">
        <v>1362</v>
      </c>
      <c r="C169">
        <f t="shared" si="6"/>
        <v>0.95428571428571429</v>
      </c>
      <c r="D169">
        <f t="shared" si="7"/>
        <v>1</v>
      </c>
      <c r="E169">
        <f t="shared" si="8"/>
        <v>0.21491088233708699</v>
      </c>
    </row>
    <row r="170" spans="1:5">
      <c r="A170">
        <v>1363</v>
      </c>
      <c r="B170">
        <v>1363</v>
      </c>
      <c r="C170">
        <f t="shared" si="6"/>
        <v>0.96</v>
      </c>
      <c r="D170">
        <f t="shared" si="7"/>
        <v>1</v>
      </c>
      <c r="E170">
        <f t="shared" si="8"/>
        <v>0.21491088233708699</v>
      </c>
    </row>
    <row r="171" spans="1:5">
      <c r="A171">
        <v>1364</v>
      </c>
      <c r="B171">
        <v>1364</v>
      </c>
      <c r="C171">
        <f t="shared" si="6"/>
        <v>0.96571428571428575</v>
      </c>
      <c r="D171">
        <f t="shared" si="7"/>
        <v>1</v>
      </c>
      <c r="E171">
        <f t="shared" si="8"/>
        <v>0.21491088233708699</v>
      </c>
    </row>
    <row r="172" spans="1:5">
      <c r="A172">
        <v>1368</v>
      </c>
      <c r="B172">
        <v>1368</v>
      </c>
      <c r="C172">
        <f t="shared" si="6"/>
        <v>0.97142857142857142</v>
      </c>
      <c r="D172">
        <f t="shared" si="7"/>
        <v>4</v>
      </c>
      <c r="E172">
        <f t="shared" si="8"/>
        <v>0.62009428209863793</v>
      </c>
    </row>
    <row r="173" spans="1:5">
      <c r="A173">
        <v>1373</v>
      </c>
      <c r="B173">
        <v>1373</v>
      </c>
      <c r="C173">
        <f t="shared" si="6"/>
        <v>0.97714285714285709</v>
      </c>
      <c r="D173">
        <f t="shared" si="7"/>
        <v>5</v>
      </c>
      <c r="E173">
        <f t="shared" si="8"/>
        <v>0.70174015513772403</v>
      </c>
    </row>
    <row r="174" spans="1:5">
      <c r="A174">
        <v>1373</v>
      </c>
      <c r="B174">
        <v>1373</v>
      </c>
      <c r="C174">
        <f t="shared" si="6"/>
        <v>0.98285714285714287</v>
      </c>
      <c r="D174">
        <f t="shared" si="7"/>
        <v>0</v>
      </c>
      <c r="E174">
        <f t="shared" si="8"/>
        <v>0</v>
      </c>
    </row>
    <row r="175" spans="1:5">
      <c r="A175">
        <v>1376</v>
      </c>
      <c r="B175">
        <v>1376</v>
      </c>
      <c r="C175">
        <f t="shared" si="6"/>
        <v>0.98857142857142855</v>
      </c>
      <c r="D175">
        <f t="shared" si="7"/>
        <v>3</v>
      </c>
      <c r="E175">
        <f t="shared" si="8"/>
        <v>0.51609860670049568</v>
      </c>
    </row>
    <row r="176" spans="1:5">
      <c r="A176">
        <v>1377</v>
      </c>
      <c r="B176">
        <v>1377</v>
      </c>
      <c r="C176">
        <f t="shared" si="6"/>
        <v>0.99428571428571433</v>
      </c>
      <c r="D176">
        <f t="shared" si="7"/>
        <v>1</v>
      </c>
      <c r="E176">
        <f t="shared" si="8"/>
        <v>0.21491088233708699</v>
      </c>
    </row>
    <row r="177" spans="3:8">
      <c r="D177" s="134">
        <f>AVERAGE(D4:D176)</f>
        <v>4.1329479768786124</v>
      </c>
    </row>
    <row r="179" spans="3:8" ht="30.75">
      <c r="C179" s="129" t="s">
        <v>143</v>
      </c>
      <c r="D179" s="199">
        <f>(1/D177)</f>
        <v>0.24195804195804199</v>
      </c>
    </row>
    <row r="180" spans="3:8">
      <c r="C180" s="128"/>
      <c r="D180" s="128"/>
      <c r="G180">
        <v>0</v>
      </c>
      <c r="H180">
        <v>0</v>
      </c>
    </row>
    <row r="181" spans="3:8">
      <c r="C181" s="128"/>
      <c r="D181" s="128"/>
      <c r="G181">
        <v>1</v>
      </c>
      <c r="H181">
        <v>1</v>
      </c>
    </row>
    <row r="182" spans="3:8">
      <c r="C182" s="128"/>
      <c r="D182" s="128"/>
    </row>
    <row r="183" spans="3:8">
      <c r="C183" s="128"/>
      <c r="D183" s="12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1F99-BCA8-4A28-BA17-BC893CA2F54B}">
  <dimension ref="A1:H183"/>
  <sheetViews>
    <sheetView topLeftCell="D1" workbookViewId="0">
      <selection activeCell="I13" sqref="I13"/>
    </sheetView>
  </sheetViews>
  <sheetFormatPr defaultRowHeight="15"/>
  <cols>
    <col min="1" max="1" width="15.5703125" customWidth="1"/>
    <col min="2" max="2" width="14.42578125" customWidth="1"/>
    <col min="3" max="3" width="19.140625" customWidth="1"/>
    <col min="4" max="4" width="17.28515625" customWidth="1"/>
    <col min="5" max="5" width="18.85546875" customWidth="1"/>
    <col min="10" max="10" width="13.85546875" customWidth="1"/>
  </cols>
  <sheetData>
    <row r="1" spans="1:8">
      <c r="A1" s="127" t="s">
        <v>141</v>
      </c>
      <c r="B1" s="126" t="s">
        <v>1</v>
      </c>
      <c r="C1" s="125" t="s">
        <v>135</v>
      </c>
      <c r="D1" s="125" t="s">
        <v>142</v>
      </c>
      <c r="E1" s="125" t="s">
        <v>136</v>
      </c>
      <c r="F1" s="131"/>
      <c r="G1" s="131"/>
      <c r="H1" s="131"/>
    </row>
    <row r="2" spans="1:8">
      <c r="A2" s="130"/>
      <c r="C2" s="130"/>
      <c r="D2" s="130"/>
      <c r="E2" s="130"/>
      <c r="F2" s="130"/>
      <c r="G2" s="130"/>
      <c r="H2" s="130"/>
    </row>
    <row r="3" spans="1:8">
      <c r="A3">
        <v>662</v>
      </c>
      <c r="B3">
        <v>662</v>
      </c>
      <c r="C3">
        <f>(ROW(B3)-1-0.5)/COUNTA($B$3:$B$176)</f>
        <v>8.6206896551724137E-3</v>
      </c>
      <c r="D3">
        <v>0</v>
      </c>
      <c r="E3">
        <f>_xlfn.EXPON.DIST(D3 - MIN($D$3:$D$176),0.241958042, TRUE)</f>
        <v>0</v>
      </c>
    </row>
    <row r="4" spans="1:8">
      <c r="A4">
        <v>676</v>
      </c>
      <c r="B4">
        <v>676</v>
      </c>
      <c r="C4">
        <f>(ROW(B4)-1-0.5)/COUNTA($B$3:$B$176)</f>
        <v>1.4367816091954023E-2</v>
      </c>
      <c r="D4">
        <f>B4-B3</f>
        <v>14</v>
      </c>
      <c r="E4">
        <f>_xlfn.EXPON.DIST(D4 - MIN($D$3:$D$176),0.241958042, TRUE)</f>
        <v>0.96620399193317985</v>
      </c>
    </row>
    <row r="5" spans="1:8">
      <c r="A5">
        <v>682</v>
      </c>
      <c r="B5">
        <v>682</v>
      </c>
      <c r="C5">
        <f t="shared" ref="C5:C67" si="0">(ROW(B5)-1-0.5)/COUNTA($B$3:$B$176)</f>
        <v>2.0114942528735632E-2</v>
      </c>
      <c r="D5">
        <f>B5-B4</f>
        <v>6</v>
      </c>
      <c r="E5">
        <f t="shared" ref="E4:E67" si="1">_xlfn.EXPON.DIST(D5 - MIN($D$3:$D$176),0.241958042, TRUE)</f>
        <v>0.765839441621748</v>
      </c>
    </row>
    <row r="6" spans="1:8">
      <c r="A6">
        <v>686</v>
      </c>
      <c r="B6">
        <v>686</v>
      </c>
      <c r="C6">
        <f t="shared" si="0"/>
        <v>2.5862068965517241E-2</v>
      </c>
      <c r="D6">
        <f t="shared" ref="D5:D68" si="2">B6-B5</f>
        <v>4</v>
      </c>
      <c r="E6">
        <f>_xlfn.EXPON.DIST(D6 - MIN($D$3:$D$176),0.241958042, TRUE)</f>
        <v>0.62009428216239826</v>
      </c>
    </row>
    <row r="7" spans="1:8">
      <c r="A7">
        <v>686</v>
      </c>
      <c r="B7">
        <v>686</v>
      </c>
      <c r="C7">
        <f t="shared" si="0"/>
        <v>3.1609195402298854E-2</v>
      </c>
      <c r="D7">
        <f t="shared" si="2"/>
        <v>0</v>
      </c>
      <c r="E7">
        <f t="shared" si="1"/>
        <v>0</v>
      </c>
    </row>
    <row r="8" spans="1:8">
      <c r="A8">
        <v>697</v>
      </c>
      <c r="B8">
        <v>697</v>
      </c>
      <c r="C8">
        <f t="shared" si="0"/>
        <v>3.7356321839080463E-2</v>
      </c>
      <c r="D8">
        <f t="shared" si="2"/>
        <v>11</v>
      </c>
      <c r="E8">
        <f t="shared" si="1"/>
        <v>0.93015930819989057</v>
      </c>
      <c r="G8">
        <v>0</v>
      </c>
      <c r="H8">
        <v>1</v>
      </c>
    </row>
    <row r="9" spans="1:8">
      <c r="A9">
        <v>697</v>
      </c>
      <c r="B9">
        <v>697</v>
      </c>
      <c r="C9">
        <f t="shared" si="0"/>
        <v>4.3103448275862072E-2</v>
      </c>
      <c r="D9">
        <f t="shared" si="2"/>
        <v>0</v>
      </c>
      <c r="E9">
        <f>_xlfn.EXPON.DIST(D9 - MIN($D$3:$D$176),0.241958042, TRUE)</f>
        <v>0</v>
      </c>
      <c r="G9">
        <v>1</v>
      </c>
      <c r="H9">
        <v>0</v>
      </c>
    </row>
    <row r="10" spans="1:8">
      <c r="A10">
        <v>699</v>
      </c>
      <c r="B10">
        <v>699</v>
      </c>
      <c r="C10">
        <f t="shared" si="0"/>
        <v>4.8850574712643681E-2</v>
      </c>
      <c r="D10">
        <f t="shared" si="2"/>
        <v>2</v>
      </c>
      <c r="E10">
        <f t="shared" si="1"/>
        <v>0.38363507737899155</v>
      </c>
    </row>
    <row r="11" spans="1:8">
      <c r="A11">
        <v>701</v>
      </c>
      <c r="B11">
        <v>701</v>
      </c>
      <c r="C11">
        <f t="shared" si="0"/>
        <v>5.459770114942529E-2</v>
      </c>
      <c r="D11">
        <f t="shared" si="2"/>
        <v>2</v>
      </c>
      <c r="E11">
        <f>_xlfn.EXPON.DIST(D11 - MIN($D$3:$D$176),0.241958042, TRUE)</f>
        <v>0.38363507737899155</v>
      </c>
    </row>
    <row r="12" spans="1:8">
      <c r="A12">
        <v>710</v>
      </c>
      <c r="B12">
        <v>710</v>
      </c>
      <c r="C12">
        <f t="shared" si="0"/>
        <v>6.0344827586206899E-2</v>
      </c>
      <c r="D12">
        <f t="shared" si="2"/>
        <v>9</v>
      </c>
      <c r="E12">
        <f t="shared" si="1"/>
        <v>0.88668937955923677</v>
      </c>
    </row>
    <row r="13" spans="1:8">
      <c r="A13">
        <v>718</v>
      </c>
      <c r="B13">
        <v>718</v>
      </c>
      <c r="C13">
        <f t="shared" si="0"/>
        <v>6.6091954022988508E-2</v>
      </c>
      <c r="D13">
        <f t="shared" si="2"/>
        <v>8</v>
      </c>
      <c r="E13">
        <f t="shared" si="1"/>
        <v>0.85567164555429653</v>
      </c>
    </row>
    <row r="14" spans="1:8">
      <c r="A14">
        <v>722</v>
      </c>
      <c r="B14">
        <v>722</v>
      </c>
      <c r="C14">
        <f t="shared" si="0"/>
        <v>7.183908045977011E-2</v>
      </c>
      <c r="D14">
        <f>B14-B13</f>
        <v>4</v>
      </c>
      <c r="E14">
        <f t="shared" si="1"/>
        <v>0.62009428216239826</v>
      </c>
    </row>
    <row r="15" spans="1:8">
      <c r="A15">
        <v>730</v>
      </c>
      <c r="B15">
        <v>730</v>
      </c>
      <c r="C15">
        <f t="shared" si="0"/>
        <v>7.7586206896551727E-2</v>
      </c>
      <c r="D15">
        <f t="shared" si="2"/>
        <v>8</v>
      </c>
      <c r="E15">
        <f t="shared" si="1"/>
        <v>0.85567164555429653</v>
      </c>
    </row>
    <row r="16" spans="1:8">
      <c r="A16">
        <v>731</v>
      </c>
      <c r="B16">
        <v>731</v>
      </c>
      <c r="C16">
        <f t="shared" si="0"/>
        <v>8.3333333333333329E-2</v>
      </c>
      <c r="D16">
        <f t="shared" si="2"/>
        <v>1</v>
      </c>
      <c r="E16">
        <f t="shared" si="1"/>
        <v>0.21491088237002773</v>
      </c>
    </row>
    <row r="17" spans="1:5">
      <c r="A17">
        <v>734</v>
      </c>
      <c r="B17">
        <v>734</v>
      </c>
      <c r="C17">
        <f t="shared" si="0"/>
        <v>8.9080459770114945E-2</v>
      </c>
      <c r="D17">
        <f t="shared" si="2"/>
        <v>3</v>
      </c>
      <c r="E17">
        <f t="shared" si="1"/>
        <v>0.5160986067614064</v>
      </c>
    </row>
    <row r="18" spans="1:5">
      <c r="A18">
        <v>737</v>
      </c>
      <c r="B18">
        <v>737</v>
      </c>
      <c r="C18">
        <f t="shared" si="0"/>
        <v>9.4827586206896547E-2</v>
      </c>
      <c r="D18">
        <f t="shared" si="2"/>
        <v>3</v>
      </c>
      <c r="E18">
        <f t="shared" si="1"/>
        <v>0.5160986067614064</v>
      </c>
    </row>
    <row r="19" spans="1:5">
      <c r="A19">
        <v>738</v>
      </c>
      <c r="B19">
        <v>738</v>
      </c>
      <c r="C19">
        <f t="shared" si="0"/>
        <v>0.10057471264367816</v>
      </c>
      <c r="D19">
        <f t="shared" si="2"/>
        <v>1</v>
      </c>
      <c r="E19">
        <f t="shared" si="1"/>
        <v>0.21491088237002773</v>
      </c>
    </row>
    <row r="20" spans="1:5">
      <c r="A20">
        <v>738</v>
      </c>
      <c r="B20">
        <v>738</v>
      </c>
      <c r="C20">
        <f t="shared" si="0"/>
        <v>0.10632183908045977</v>
      </c>
      <c r="D20">
        <f t="shared" si="2"/>
        <v>0</v>
      </c>
      <c r="E20">
        <f t="shared" si="1"/>
        <v>0</v>
      </c>
    </row>
    <row r="21" spans="1:5">
      <c r="A21">
        <v>747</v>
      </c>
      <c r="B21">
        <v>747</v>
      </c>
      <c r="C21">
        <f t="shared" si="0"/>
        <v>0.11206896551724138</v>
      </c>
      <c r="D21">
        <f t="shared" si="2"/>
        <v>9</v>
      </c>
      <c r="E21">
        <f t="shared" si="1"/>
        <v>0.88668937955923677</v>
      </c>
    </row>
    <row r="22" spans="1:5">
      <c r="A22">
        <v>757</v>
      </c>
      <c r="B22">
        <v>757</v>
      </c>
      <c r="C22">
        <f t="shared" si="0"/>
        <v>0.11781609195402298</v>
      </c>
      <c r="D22">
        <f t="shared" si="2"/>
        <v>10</v>
      </c>
      <c r="E22">
        <f t="shared" si="1"/>
        <v>0.91104106498005644</v>
      </c>
    </row>
    <row r="23" spans="1:5">
      <c r="A23">
        <v>761</v>
      </c>
      <c r="B23">
        <v>761</v>
      </c>
      <c r="C23">
        <f t="shared" si="0"/>
        <v>0.1235632183908046</v>
      </c>
      <c r="D23">
        <f t="shared" si="2"/>
        <v>4</v>
      </c>
      <c r="E23">
        <f t="shared" si="1"/>
        <v>0.62009428216239826</v>
      </c>
    </row>
    <row r="24" spans="1:5">
      <c r="A24">
        <v>762</v>
      </c>
      <c r="B24">
        <v>762</v>
      </c>
      <c r="C24">
        <f t="shared" si="0"/>
        <v>0.12931034482758622</v>
      </c>
      <c r="D24">
        <f t="shared" si="2"/>
        <v>1</v>
      </c>
      <c r="E24">
        <f t="shared" si="1"/>
        <v>0.21491088237002773</v>
      </c>
    </row>
    <row r="25" spans="1:5">
      <c r="A25">
        <v>764</v>
      </c>
      <c r="B25">
        <v>764</v>
      </c>
      <c r="C25">
        <f t="shared" si="0"/>
        <v>0.13505747126436782</v>
      </c>
      <c r="D25">
        <f t="shared" si="2"/>
        <v>2</v>
      </c>
      <c r="E25">
        <f t="shared" si="1"/>
        <v>0.38363507737899155</v>
      </c>
    </row>
    <row r="26" spans="1:5">
      <c r="A26">
        <v>769</v>
      </c>
      <c r="B26">
        <v>769</v>
      </c>
      <c r="C26">
        <f t="shared" si="0"/>
        <v>0.14080459770114942</v>
      </c>
      <c r="D26">
        <f t="shared" si="2"/>
        <v>5</v>
      </c>
      <c r="E26">
        <f t="shared" si="1"/>
        <v>0.70174015520029598</v>
      </c>
    </row>
    <row r="27" spans="1:5">
      <c r="A27">
        <v>778</v>
      </c>
      <c r="B27">
        <v>778</v>
      </c>
      <c r="C27">
        <f t="shared" si="0"/>
        <v>0.14655172413793102</v>
      </c>
      <c r="D27">
        <f t="shared" si="2"/>
        <v>9</v>
      </c>
      <c r="E27">
        <f t="shared" si="1"/>
        <v>0.88668937955923677</v>
      </c>
    </row>
    <row r="28" spans="1:5">
      <c r="A28">
        <v>787</v>
      </c>
      <c r="B28">
        <v>787</v>
      </c>
      <c r="C28">
        <f t="shared" si="0"/>
        <v>0.15229885057471265</v>
      </c>
      <c r="D28">
        <f t="shared" si="2"/>
        <v>9</v>
      </c>
      <c r="E28">
        <f t="shared" si="1"/>
        <v>0.88668937955923677</v>
      </c>
    </row>
    <row r="29" spans="1:5">
      <c r="A29">
        <v>793</v>
      </c>
      <c r="B29">
        <v>793</v>
      </c>
      <c r="C29">
        <f t="shared" si="0"/>
        <v>0.15804597701149425</v>
      </c>
      <c r="D29">
        <f t="shared" si="2"/>
        <v>6</v>
      </c>
      <c r="E29">
        <f t="shared" si="1"/>
        <v>0.765839441621748</v>
      </c>
    </row>
    <row r="30" spans="1:5">
      <c r="A30">
        <v>797</v>
      </c>
      <c r="B30">
        <v>797</v>
      </c>
      <c r="C30">
        <f t="shared" si="0"/>
        <v>0.16379310344827586</v>
      </c>
      <c r="D30">
        <f t="shared" si="2"/>
        <v>4</v>
      </c>
      <c r="E30">
        <f t="shared" si="1"/>
        <v>0.62009428216239826</v>
      </c>
    </row>
    <row r="31" spans="1:5">
      <c r="A31">
        <v>798</v>
      </c>
      <c r="B31">
        <v>798</v>
      </c>
      <c r="C31">
        <f t="shared" si="0"/>
        <v>0.16954022988505746</v>
      </c>
      <c r="D31">
        <f t="shared" si="2"/>
        <v>1</v>
      </c>
      <c r="E31">
        <f t="shared" si="1"/>
        <v>0.21491088237002773</v>
      </c>
    </row>
    <row r="32" spans="1:5">
      <c r="A32">
        <v>798</v>
      </c>
      <c r="B32">
        <v>798</v>
      </c>
      <c r="C32">
        <f t="shared" si="0"/>
        <v>0.17528735632183909</v>
      </c>
      <c r="D32">
        <f t="shared" si="2"/>
        <v>0</v>
      </c>
      <c r="E32">
        <f t="shared" si="1"/>
        <v>0</v>
      </c>
    </row>
    <row r="33" spans="1:5">
      <c r="A33">
        <v>807</v>
      </c>
      <c r="B33">
        <v>807</v>
      </c>
      <c r="C33">
        <f t="shared" si="0"/>
        <v>0.18103448275862069</v>
      </c>
      <c r="D33">
        <f t="shared" si="2"/>
        <v>9</v>
      </c>
      <c r="E33">
        <f t="shared" si="1"/>
        <v>0.88668937955923677</v>
      </c>
    </row>
    <row r="34" spans="1:5">
      <c r="A34">
        <v>811</v>
      </c>
      <c r="B34">
        <v>811</v>
      </c>
      <c r="C34">
        <f t="shared" si="0"/>
        <v>0.18678160919540229</v>
      </c>
      <c r="D34">
        <f t="shared" si="2"/>
        <v>4</v>
      </c>
      <c r="E34">
        <f t="shared" si="1"/>
        <v>0.62009428216239826</v>
      </c>
    </row>
    <row r="35" spans="1:5">
      <c r="A35">
        <v>811</v>
      </c>
      <c r="B35">
        <v>811</v>
      </c>
      <c r="C35">
        <f t="shared" si="0"/>
        <v>0.19252873563218389</v>
      </c>
      <c r="D35">
        <f t="shared" si="2"/>
        <v>0</v>
      </c>
      <c r="E35">
        <f t="shared" si="1"/>
        <v>0</v>
      </c>
    </row>
    <row r="36" spans="1:5">
      <c r="A36">
        <v>812</v>
      </c>
      <c r="B36">
        <v>812</v>
      </c>
      <c r="C36">
        <f t="shared" si="0"/>
        <v>0.19827586206896552</v>
      </c>
      <c r="D36">
        <f t="shared" si="2"/>
        <v>1</v>
      </c>
      <c r="E36">
        <f t="shared" si="1"/>
        <v>0.21491088237002773</v>
      </c>
    </row>
    <row r="37" spans="1:5">
      <c r="A37">
        <v>816</v>
      </c>
      <c r="B37">
        <v>816</v>
      </c>
      <c r="C37">
        <f t="shared" si="0"/>
        <v>0.20402298850574713</v>
      </c>
      <c r="D37">
        <f t="shared" si="2"/>
        <v>4</v>
      </c>
      <c r="E37">
        <f t="shared" si="1"/>
        <v>0.62009428216239826</v>
      </c>
    </row>
    <row r="38" spans="1:5">
      <c r="A38">
        <v>816</v>
      </c>
      <c r="B38">
        <v>816</v>
      </c>
      <c r="C38">
        <f t="shared" si="0"/>
        <v>0.20977011494252873</v>
      </c>
      <c r="D38">
        <f t="shared" si="2"/>
        <v>0</v>
      </c>
      <c r="E38">
        <f t="shared" si="1"/>
        <v>0</v>
      </c>
    </row>
    <row r="39" spans="1:5">
      <c r="A39">
        <v>817</v>
      </c>
      <c r="B39">
        <v>817</v>
      </c>
      <c r="C39">
        <f t="shared" si="0"/>
        <v>0.21551724137931033</v>
      </c>
      <c r="D39">
        <f t="shared" si="2"/>
        <v>1</v>
      </c>
      <c r="E39">
        <f t="shared" si="1"/>
        <v>0.21491088237002773</v>
      </c>
    </row>
    <row r="40" spans="1:5">
      <c r="A40">
        <v>820</v>
      </c>
      <c r="B40">
        <v>820</v>
      </c>
      <c r="C40">
        <f t="shared" si="0"/>
        <v>0.22126436781609196</v>
      </c>
      <c r="D40">
        <f t="shared" si="2"/>
        <v>3</v>
      </c>
      <c r="E40">
        <f t="shared" si="1"/>
        <v>0.5160986067614064</v>
      </c>
    </row>
    <row r="41" spans="1:5">
      <c r="A41">
        <v>825</v>
      </c>
      <c r="B41">
        <v>825</v>
      </c>
      <c r="C41">
        <f t="shared" si="0"/>
        <v>0.22701149425287356</v>
      </c>
      <c r="D41">
        <f t="shared" si="2"/>
        <v>5</v>
      </c>
      <c r="E41">
        <f t="shared" si="1"/>
        <v>0.70174015520029598</v>
      </c>
    </row>
    <row r="42" spans="1:5">
      <c r="A42">
        <v>829</v>
      </c>
      <c r="B42">
        <v>829</v>
      </c>
      <c r="C42">
        <f t="shared" si="0"/>
        <v>0.23275862068965517</v>
      </c>
      <c r="D42">
        <f t="shared" si="2"/>
        <v>4</v>
      </c>
      <c r="E42">
        <f t="shared" si="1"/>
        <v>0.62009428216239826</v>
      </c>
    </row>
    <row r="43" spans="1:5">
      <c r="A43">
        <v>830</v>
      </c>
      <c r="B43">
        <v>830</v>
      </c>
      <c r="C43">
        <f t="shared" si="0"/>
        <v>0.23850574712643677</v>
      </c>
      <c r="D43">
        <f t="shared" si="2"/>
        <v>1</v>
      </c>
      <c r="E43">
        <f t="shared" si="1"/>
        <v>0.21491088237002773</v>
      </c>
    </row>
    <row r="44" spans="1:5">
      <c r="A44">
        <v>835</v>
      </c>
      <c r="B44">
        <v>835</v>
      </c>
      <c r="C44">
        <f t="shared" si="0"/>
        <v>0.2442528735632184</v>
      </c>
      <c r="D44">
        <f t="shared" si="2"/>
        <v>5</v>
      </c>
      <c r="E44">
        <f t="shared" si="1"/>
        <v>0.70174015520029598</v>
      </c>
    </row>
    <row r="45" spans="1:5">
      <c r="A45">
        <v>836</v>
      </c>
      <c r="B45">
        <v>836</v>
      </c>
      <c r="C45">
        <f t="shared" si="0"/>
        <v>0.25</v>
      </c>
      <c r="D45">
        <f t="shared" si="2"/>
        <v>1</v>
      </c>
      <c r="E45">
        <f t="shared" si="1"/>
        <v>0.21491088237002773</v>
      </c>
    </row>
    <row r="46" spans="1:5">
      <c r="A46">
        <v>837</v>
      </c>
      <c r="B46">
        <v>837</v>
      </c>
      <c r="C46">
        <f t="shared" si="0"/>
        <v>0.2557471264367816</v>
      </c>
      <c r="D46">
        <f t="shared" si="2"/>
        <v>1</v>
      </c>
      <c r="E46">
        <f t="shared" si="1"/>
        <v>0.21491088237002773</v>
      </c>
    </row>
    <row r="47" spans="1:5">
      <c r="A47">
        <v>843</v>
      </c>
      <c r="B47">
        <v>841</v>
      </c>
      <c r="C47">
        <f t="shared" si="0"/>
        <v>0.2614942528735632</v>
      </c>
      <c r="D47">
        <f t="shared" si="2"/>
        <v>4</v>
      </c>
      <c r="E47">
        <f t="shared" si="1"/>
        <v>0.62009428216239826</v>
      </c>
    </row>
    <row r="48" spans="1:5">
      <c r="A48">
        <v>841</v>
      </c>
      <c r="B48">
        <v>843</v>
      </c>
      <c r="C48">
        <f t="shared" si="0"/>
        <v>0.26724137931034481</v>
      </c>
      <c r="D48">
        <f t="shared" si="2"/>
        <v>2</v>
      </c>
      <c r="E48">
        <f t="shared" si="1"/>
        <v>0.38363507737899155</v>
      </c>
    </row>
    <row r="49" spans="1:5">
      <c r="A49">
        <v>843</v>
      </c>
      <c r="B49">
        <v>843</v>
      </c>
      <c r="C49">
        <f t="shared" si="0"/>
        <v>0.27298850574712646</v>
      </c>
      <c r="D49">
        <f t="shared" si="2"/>
        <v>0</v>
      </c>
      <c r="E49">
        <f t="shared" si="1"/>
        <v>0</v>
      </c>
    </row>
    <row r="50" spans="1:5">
      <c r="A50">
        <v>846</v>
      </c>
      <c r="B50">
        <v>846</v>
      </c>
      <c r="C50">
        <f t="shared" si="0"/>
        <v>0.27873563218390807</v>
      </c>
      <c r="D50">
        <f t="shared" si="2"/>
        <v>3</v>
      </c>
      <c r="E50">
        <f t="shared" si="1"/>
        <v>0.5160986067614064</v>
      </c>
    </row>
    <row r="51" spans="1:5">
      <c r="A51">
        <v>849</v>
      </c>
      <c r="B51">
        <v>849</v>
      </c>
      <c r="C51">
        <f t="shared" si="0"/>
        <v>0.28448275862068967</v>
      </c>
      <c r="D51">
        <f t="shared" si="2"/>
        <v>3</v>
      </c>
      <c r="E51">
        <f t="shared" si="1"/>
        <v>0.5160986067614064</v>
      </c>
    </row>
    <row r="52" spans="1:5">
      <c r="A52">
        <v>850</v>
      </c>
      <c r="B52">
        <v>850</v>
      </c>
      <c r="C52">
        <f t="shared" si="0"/>
        <v>0.29022988505747127</v>
      </c>
      <c r="D52">
        <f t="shared" si="2"/>
        <v>1</v>
      </c>
      <c r="E52">
        <f t="shared" si="1"/>
        <v>0.21491088237002773</v>
      </c>
    </row>
    <row r="53" spans="1:5">
      <c r="A53">
        <v>866</v>
      </c>
      <c r="B53">
        <v>866</v>
      </c>
      <c r="C53">
        <f t="shared" si="0"/>
        <v>0.29597701149425287</v>
      </c>
      <c r="D53">
        <f t="shared" si="2"/>
        <v>16</v>
      </c>
      <c r="E53">
        <f t="shared" si="1"/>
        <v>0.97916932610299534</v>
      </c>
    </row>
    <row r="54" spans="1:5">
      <c r="A54">
        <v>873</v>
      </c>
      <c r="B54">
        <v>873</v>
      </c>
      <c r="C54">
        <f t="shared" si="0"/>
        <v>0.30172413793103448</v>
      </c>
      <c r="D54">
        <f t="shared" si="2"/>
        <v>7</v>
      </c>
      <c r="E54">
        <f t="shared" si="1"/>
        <v>0.81616309383907648</v>
      </c>
    </row>
    <row r="55" spans="1:5">
      <c r="A55">
        <v>885</v>
      </c>
      <c r="B55">
        <v>885</v>
      </c>
      <c r="C55">
        <f t="shared" si="0"/>
        <v>0.30747126436781608</v>
      </c>
      <c r="D55">
        <f t="shared" si="2"/>
        <v>12</v>
      </c>
      <c r="E55">
        <f t="shared" si="1"/>
        <v>0.94516883289998521</v>
      </c>
    </row>
    <row r="56" spans="1:5">
      <c r="A56">
        <v>896</v>
      </c>
      <c r="B56">
        <v>896</v>
      </c>
      <c r="C56">
        <f t="shared" si="0"/>
        <v>0.31321839080459768</v>
      </c>
      <c r="D56">
        <f t="shared" si="2"/>
        <v>11</v>
      </c>
      <c r="E56">
        <f t="shared" si="1"/>
        <v>0.93015930819989057</v>
      </c>
    </row>
    <row r="57" spans="1:5">
      <c r="A57">
        <v>900</v>
      </c>
      <c r="B57">
        <v>900</v>
      </c>
      <c r="C57">
        <f t="shared" si="0"/>
        <v>0.31896551724137934</v>
      </c>
      <c r="D57">
        <f t="shared" si="2"/>
        <v>4</v>
      </c>
      <c r="E57">
        <f t="shared" si="1"/>
        <v>0.62009428216239826</v>
      </c>
    </row>
    <row r="58" spans="1:5">
      <c r="A58">
        <v>911</v>
      </c>
      <c r="B58">
        <v>911</v>
      </c>
      <c r="C58">
        <f t="shared" si="0"/>
        <v>0.32471264367816094</v>
      </c>
      <c r="D58">
        <f t="shared" si="2"/>
        <v>11</v>
      </c>
      <c r="E58">
        <f t="shared" si="1"/>
        <v>0.93015930819989057</v>
      </c>
    </row>
    <row r="59" spans="1:5">
      <c r="A59">
        <v>912</v>
      </c>
      <c r="B59">
        <v>912</v>
      </c>
      <c r="C59">
        <f t="shared" si="0"/>
        <v>0.33045977011494254</v>
      </c>
      <c r="D59">
        <f t="shared" si="2"/>
        <v>1</v>
      </c>
      <c r="E59">
        <f t="shared" si="1"/>
        <v>0.21491088237002773</v>
      </c>
    </row>
    <row r="60" spans="1:5">
      <c r="A60">
        <v>912</v>
      </c>
      <c r="B60">
        <v>912</v>
      </c>
      <c r="C60">
        <f t="shared" si="0"/>
        <v>0.33620689655172414</v>
      </c>
      <c r="D60">
        <f t="shared" si="2"/>
        <v>0</v>
      </c>
      <c r="E60">
        <f t="shared" si="1"/>
        <v>0</v>
      </c>
    </row>
    <row r="61" spans="1:5">
      <c r="A61">
        <v>913</v>
      </c>
      <c r="B61">
        <v>913</v>
      </c>
      <c r="C61">
        <f t="shared" si="0"/>
        <v>0.34195402298850575</v>
      </c>
      <c r="D61">
        <f t="shared" si="2"/>
        <v>1</v>
      </c>
      <c r="E61">
        <f t="shared" si="1"/>
        <v>0.21491088237002773</v>
      </c>
    </row>
    <row r="62" spans="1:5">
      <c r="A62">
        <v>914</v>
      </c>
      <c r="B62">
        <v>914</v>
      </c>
      <c r="C62">
        <f t="shared" si="0"/>
        <v>0.34770114942528735</v>
      </c>
      <c r="D62">
        <f t="shared" si="2"/>
        <v>1</v>
      </c>
      <c r="E62">
        <f t="shared" si="1"/>
        <v>0.21491088237002773</v>
      </c>
    </row>
    <row r="63" spans="1:5">
      <c r="A63">
        <v>917</v>
      </c>
      <c r="B63">
        <v>917</v>
      </c>
      <c r="C63">
        <f t="shared" si="0"/>
        <v>0.35344827586206895</v>
      </c>
      <c r="D63">
        <f t="shared" si="2"/>
        <v>3</v>
      </c>
      <c r="E63">
        <f t="shared" si="1"/>
        <v>0.5160986067614064</v>
      </c>
    </row>
    <row r="64" spans="1:5">
      <c r="A64">
        <v>918</v>
      </c>
      <c r="B64">
        <v>918</v>
      </c>
      <c r="C64">
        <f t="shared" si="0"/>
        <v>0.35919540229885055</v>
      </c>
      <c r="D64">
        <f t="shared" si="2"/>
        <v>1</v>
      </c>
      <c r="E64">
        <f t="shared" si="1"/>
        <v>0.21491088237002773</v>
      </c>
    </row>
    <row r="65" spans="1:5">
      <c r="A65">
        <v>926</v>
      </c>
      <c r="B65">
        <v>926</v>
      </c>
      <c r="C65">
        <f t="shared" si="0"/>
        <v>0.36494252873563221</v>
      </c>
      <c r="D65">
        <f t="shared" si="2"/>
        <v>8</v>
      </c>
      <c r="E65">
        <f t="shared" si="1"/>
        <v>0.85567164555429653</v>
      </c>
    </row>
    <row r="66" spans="1:5">
      <c r="A66">
        <v>928</v>
      </c>
      <c r="B66">
        <v>928</v>
      </c>
      <c r="C66">
        <f t="shared" si="0"/>
        <v>0.37068965517241381</v>
      </c>
      <c r="D66">
        <f t="shared" si="2"/>
        <v>2</v>
      </c>
      <c r="E66">
        <f t="shared" si="1"/>
        <v>0.38363507737899155</v>
      </c>
    </row>
    <row r="67" spans="1:5">
      <c r="A67">
        <v>930</v>
      </c>
      <c r="B67">
        <v>930</v>
      </c>
      <c r="C67">
        <f t="shared" si="0"/>
        <v>0.37643678160919541</v>
      </c>
      <c r="D67">
        <f t="shared" si="2"/>
        <v>2</v>
      </c>
      <c r="E67">
        <f t="shared" si="1"/>
        <v>0.38363507737899155</v>
      </c>
    </row>
    <row r="68" spans="1:5">
      <c r="A68">
        <v>933</v>
      </c>
      <c r="B68">
        <v>933</v>
      </c>
      <c r="C68">
        <f t="shared" ref="C68:C131" si="3">(ROW(B68)-1-0.5)/COUNTA($B$3:$B$176)</f>
        <v>0.38218390804597702</v>
      </c>
      <c r="D68">
        <f t="shared" si="2"/>
        <v>3</v>
      </c>
      <c r="E68">
        <f t="shared" ref="E68:E131" si="4">_xlfn.EXPON.DIST(D68 - MIN($D$3:$D$176),0.241958042, TRUE)</f>
        <v>0.5160986067614064</v>
      </c>
    </row>
    <row r="69" spans="1:5">
      <c r="A69">
        <v>934</v>
      </c>
      <c r="B69">
        <v>934</v>
      </c>
      <c r="C69">
        <f t="shared" si="3"/>
        <v>0.38793103448275862</v>
      </c>
      <c r="D69">
        <f t="shared" ref="D69:D132" si="5">B69-B68</f>
        <v>1</v>
      </c>
      <c r="E69">
        <f t="shared" si="4"/>
        <v>0.21491088237002773</v>
      </c>
    </row>
    <row r="70" spans="1:5">
      <c r="A70">
        <v>941</v>
      </c>
      <c r="B70">
        <v>941</v>
      </c>
      <c r="C70">
        <f t="shared" si="3"/>
        <v>0.39367816091954022</v>
      </c>
      <c r="D70">
        <f t="shared" si="5"/>
        <v>7</v>
      </c>
      <c r="E70">
        <f t="shared" si="4"/>
        <v>0.81616309383907648</v>
      </c>
    </row>
    <row r="71" spans="1:5">
      <c r="A71">
        <v>941</v>
      </c>
      <c r="B71">
        <v>941</v>
      </c>
      <c r="C71">
        <f t="shared" si="3"/>
        <v>0.39942528735632182</v>
      </c>
      <c r="D71">
        <f t="shared" si="5"/>
        <v>0</v>
      </c>
      <c r="E71">
        <f t="shared" si="4"/>
        <v>0</v>
      </c>
    </row>
    <row r="72" spans="1:5">
      <c r="A72">
        <v>961</v>
      </c>
      <c r="B72">
        <v>961</v>
      </c>
      <c r="C72">
        <f t="shared" si="3"/>
        <v>0.40517241379310343</v>
      </c>
      <c r="D72">
        <f t="shared" si="5"/>
        <v>20</v>
      </c>
      <c r="E72">
        <f t="shared" si="4"/>
        <v>0.99208630788011742</v>
      </c>
    </row>
    <row r="73" spans="1:5">
      <c r="A73">
        <v>968</v>
      </c>
      <c r="B73">
        <v>968</v>
      </c>
      <c r="C73">
        <f t="shared" si="3"/>
        <v>0.41091954022988508</v>
      </c>
      <c r="D73">
        <f t="shared" si="5"/>
        <v>7</v>
      </c>
      <c r="E73">
        <f t="shared" si="4"/>
        <v>0.81616309383907648</v>
      </c>
    </row>
    <row r="74" spans="1:5">
      <c r="A74">
        <v>969</v>
      </c>
      <c r="B74">
        <v>969</v>
      </c>
      <c r="C74">
        <f t="shared" si="3"/>
        <v>0.41666666666666669</v>
      </c>
      <c r="D74">
        <f t="shared" si="5"/>
        <v>1</v>
      </c>
      <c r="E74">
        <f t="shared" si="4"/>
        <v>0.21491088237002773</v>
      </c>
    </row>
    <row r="75" spans="1:5">
      <c r="A75">
        <v>969</v>
      </c>
      <c r="B75">
        <v>969</v>
      </c>
      <c r="C75">
        <f t="shared" si="3"/>
        <v>0.42241379310344829</v>
      </c>
      <c r="D75">
        <f t="shared" si="5"/>
        <v>0</v>
      </c>
      <c r="E75">
        <f t="shared" si="4"/>
        <v>0</v>
      </c>
    </row>
    <row r="76" spans="1:5">
      <c r="A76">
        <v>976</v>
      </c>
      <c r="B76">
        <v>976</v>
      </c>
      <c r="C76">
        <f t="shared" si="3"/>
        <v>0.42816091954022989</v>
      </c>
      <c r="D76">
        <f t="shared" si="5"/>
        <v>7</v>
      </c>
      <c r="E76">
        <f t="shared" si="4"/>
        <v>0.81616309383907648</v>
      </c>
    </row>
    <row r="77" spans="1:5">
      <c r="A77">
        <v>982</v>
      </c>
      <c r="B77">
        <v>982</v>
      </c>
      <c r="C77">
        <f t="shared" si="3"/>
        <v>0.43390804597701149</v>
      </c>
      <c r="D77">
        <f t="shared" si="5"/>
        <v>6</v>
      </c>
      <c r="E77">
        <f t="shared" si="4"/>
        <v>0.765839441621748</v>
      </c>
    </row>
    <row r="78" spans="1:5">
      <c r="A78">
        <v>988</v>
      </c>
      <c r="B78">
        <v>988</v>
      </c>
      <c r="C78">
        <f t="shared" si="3"/>
        <v>0.43965517241379309</v>
      </c>
      <c r="D78">
        <f t="shared" si="5"/>
        <v>6</v>
      </c>
      <c r="E78">
        <f t="shared" si="4"/>
        <v>0.765839441621748</v>
      </c>
    </row>
    <row r="79" spans="1:5">
      <c r="A79">
        <v>994</v>
      </c>
      <c r="B79">
        <v>994</v>
      </c>
      <c r="C79">
        <f t="shared" si="3"/>
        <v>0.4454022988505747</v>
      </c>
      <c r="D79">
        <f t="shared" si="5"/>
        <v>6</v>
      </c>
      <c r="E79">
        <f t="shared" si="4"/>
        <v>0.765839441621748</v>
      </c>
    </row>
    <row r="80" spans="1:5">
      <c r="A80">
        <v>995</v>
      </c>
      <c r="B80">
        <v>995</v>
      </c>
      <c r="C80">
        <f t="shared" si="3"/>
        <v>0.4511494252873563</v>
      </c>
      <c r="D80">
        <f t="shared" si="5"/>
        <v>1</v>
      </c>
      <c r="E80">
        <f t="shared" si="4"/>
        <v>0.21491088237002773</v>
      </c>
    </row>
    <row r="81" spans="1:5">
      <c r="A81">
        <v>997</v>
      </c>
      <c r="B81">
        <v>997</v>
      </c>
      <c r="C81">
        <f t="shared" si="3"/>
        <v>0.45689655172413796</v>
      </c>
      <c r="D81">
        <f t="shared" si="5"/>
        <v>2</v>
      </c>
      <c r="E81">
        <f t="shared" si="4"/>
        <v>0.38363507737899155</v>
      </c>
    </row>
    <row r="82" spans="1:5">
      <c r="A82">
        <v>997</v>
      </c>
      <c r="B82">
        <v>997</v>
      </c>
      <c r="C82">
        <f t="shared" si="3"/>
        <v>0.46264367816091956</v>
      </c>
      <c r="D82">
        <f t="shared" si="5"/>
        <v>0</v>
      </c>
      <c r="E82">
        <f t="shared" si="4"/>
        <v>0</v>
      </c>
    </row>
    <row r="83" spans="1:5">
      <c r="A83">
        <v>1006</v>
      </c>
      <c r="B83">
        <v>1006</v>
      </c>
      <c r="C83">
        <f t="shared" si="3"/>
        <v>0.46839080459770116</v>
      </c>
      <c r="D83">
        <f t="shared" si="5"/>
        <v>9</v>
      </c>
      <c r="E83">
        <f t="shared" si="4"/>
        <v>0.88668937955923677</v>
      </c>
    </row>
    <row r="84" spans="1:5">
      <c r="A84">
        <v>1010</v>
      </c>
      <c r="B84">
        <v>1010</v>
      </c>
      <c r="C84">
        <f t="shared" si="3"/>
        <v>0.47413793103448276</v>
      </c>
      <c r="D84">
        <f t="shared" si="5"/>
        <v>4</v>
      </c>
      <c r="E84">
        <f t="shared" si="4"/>
        <v>0.62009428216239826</v>
      </c>
    </row>
    <row r="85" spans="1:5">
      <c r="A85">
        <v>1012</v>
      </c>
      <c r="B85">
        <v>1012</v>
      </c>
      <c r="C85">
        <f t="shared" si="3"/>
        <v>0.47988505747126436</v>
      </c>
      <c r="D85">
        <f t="shared" si="5"/>
        <v>2</v>
      </c>
      <c r="E85">
        <f t="shared" si="4"/>
        <v>0.38363507737899155</v>
      </c>
    </row>
    <row r="86" spans="1:5">
      <c r="A86">
        <v>1013</v>
      </c>
      <c r="B86">
        <v>1013</v>
      </c>
      <c r="C86">
        <f t="shared" si="3"/>
        <v>0.48563218390804597</v>
      </c>
      <c r="D86">
        <f t="shared" si="5"/>
        <v>1</v>
      </c>
      <c r="E86">
        <f t="shared" si="4"/>
        <v>0.21491088237002773</v>
      </c>
    </row>
    <row r="87" spans="1:5">
      <c r="A87">
        <v>1014</v>
      </c>
      <c r="B87">
        <v>1014</v>
      </c>
      <c r="C87">
        <f t="shared" si="3"/>
        <v>0.49137931034482757</v>
      </c>
      <c r="D87">
        <f t="shared" si="5"/>
        <v>1</v>
      </c>
      <c r="E87">
        <f t="shared" si="4"/>
        <v>0.21491088237002773</v>
      </c>
    </row>
    <row r="88" spans="1:5">
      <c r="A88">
        <v>1016</v>
      </c>
      <c r="B88">
        <v>1016</v>
      </c>
      <c r="C88">
        <f t="shared" si="3"/>
        <v>0.49712643678160917</v>
      </c>
      <c r="D88">
        <f t="shared" si="5"/>
        <v>2</v>
      </c>
      <c r="E88">
        <f t="shared" si="4"/>
        <v>0.38363507737899155</v>
      </c>
    </row>
    <row r="89" spans="1:5">
      <c r="A89">
        <v>1022</v>
      </c>
      <c r="B89">
        <v>1022</v>
      </c>
      <c r="C89">
        <f t="shared" si="3"/>
        <v>0.50287356321839083</v>
      </c>
      <c r="D89">
        <f t="shared" si="5"/>
        <v>6</v>
      </c>
      <c r="E89">
        <f t="shared" si="4"/>
        <v>0.765839441621748</v>
      </c>
    </row>
    <row r="90" spans="1:5">
      <c r="A90">
        <v>1026</v>
      </c>
      <c r="B90">
        <v>1026</v>
      </c>
      <c r="C90">
        <f t="shared" si="3"/>
        <v>0.50862068965517238</v>
      </c>
      <c r="D90">
        <f t="shared" si="5"/>
        <v>4</v>
      </c>
      <c r="E90">
        <f t="shared" si="4"/>
        <v>0.62009428216239826</v>
      </c>
    </row>
    <row r="91" spans="1:5">
      <c r="A91">
        <v>1036</v>
      </c>
      <c r="B91">
        <v>1036</v>
      </c>
      <c r="C91">
        <f t="shared" si="3"/>
        <v>0.51436781609195403</v>
      </c>
      <c r="D91">
        <f t="shared" si="5"/>
        <v>10</v>
      </c>
      <c r="E91">
        <f t="shared" si="4"/>
        <v>0.91104106498005644</v>
      </c>
    </row>
    <row r="92" spans="1:5">
      <c r="A92">
        <v>1039</v>
      </c>
      <c r="B92">
        <v>1039</v>
      </c>
      <c r="C92">
        <f t="shared" si="3"/>
        <v>0.52011494252873558</v>
      </c>
      <c r="D92">
        <f t="shared" si="5"/>
        <v>3</v>
      </c>
      <c r="E92">
        <f t="shared" si="4"/>
        <v>0.5160986067614064</v>
      </c>
    </row>
    <row r="93" spans="1:5">
      <c r="A93">
        <v>1040</v>
      </c>
      <c r="B93">
        <v>1040</v>
      </c>
      <c r="C93">
        <f t="shared" si="3"/>
        <v>0.52586206896551724</v>
      </c>
      <c r="D93">
        <f t="shared" si="5"/>
        <v>1</v>
      </c>
      <c r="E93">
        <f t="shared" si="4"/>
        <v>0.21491088237002773</v>
      </c>
    </row>
    <row r="94" spans="1:5">
      <c r="A94">
        <v>1045</v>
      </c>
      <c r="B94">
        <v>1045</v>
      </c>
      <c r="C94">
        <f t="shared" si="3"/>
        <v>0.5316091954022989</v>
      </c>
      <c r="D94">
        <f t="shared" si="5"/>
        <v>5</v>
      </c>
      <c r="E94">
        <f t="shared" si="4"/>
        <v>0.70174015520029598</v>
      </c>
    </row>
    <row r="95" spans="1:5">
      <c r="A95">
        <v>1052</v>
      </c>
      <c r="B95">
        <v>1052</v>
      </c>
      <c r="C95">
        <f t="shared" si="3"/>
        <v>0.53735632183908044</v>
      </c>
      <c r="D95">
        <f t="shared" si="5"/>
        <v>7</v>
      </c>
      <c r="E95">
        <f t="shared" si="4"/>
        <v>0.81616309383907648</v>
      </c>
    </row>
    <row r="96" spans="1:5">
      <c r="A96">
        <v>1055</v>
      </c>
      <c r="B96">
        <v>1055</v>
      </c>
      <c r="C96">
        <f t="shared" si="3"/>
        <v>0.5431034482758621</v>
      </c>
      <c r="D96">
        <f t="shared" si="5"/>
        <v>3</v>
      </c>
      <c r="E96">
        <f t="shared" si="4"/>
        <v>0.5160986067614064</v>
      </c>
    </row>
    <row r="97" spans="1:5">
      <c r="A97">
        <v>1062</v>
      </c>
      <c r="B97">
        <v>1062</v>
      </c>
      <c r="C97">
        <f t="shared" si="3"/>
        <v>0.54885057471264365</v>
      </c>
      <c r="D97">
        <f t="shared" si="5"/>
        <v>7</v>
      </c>
      <c r="E97">
        <f t="shared" si="4"/>
        <v>0.81616309383907648</v>
      </c>
    </row>
    <row r="98" spans="1:5">
      <c r="A98">
        <v>1065</v>
      </c>
      <c r="B98">
        <v>1065</v>
      </c>
      <c r="C98">
        <f t="shared" si="3"/>
        <v>0.5545977011494253</v>
      </c>
      <c r="D98">
        <f t="shared" si="5"/>
        <v>3</v>
      </c>
      <c r="E98">
        <f t="shared" si="4"/>
        <v>0.5160986067614064</v>
      </c>
    </row>
    <row r="99" spans="1:5">
      <c r="A99">
        <v>1068</v>
      </c>
      <c r="B99">
        <v>1068</v>
      </c>
      <c r="C99">
        <f t="shared" si="3"/>
        <v>0.56034482758620685</v>
      </c>
      <c r="D99">
        <f t="shared" si="5"/>
        <v>3</v>
      </c>
      <c r="E99">
        <f t="shared" si="4"/>
        <v>0.5160986067614064</v>
      </c>
    </row>
    <row r="100" spans="1:5">
      <c r="A100">
        <v>1071</v>
      </c>
      <c r="B100">
        <v>1071</v>
      </c>
      <c r="C100">
        <f t="shared" si="3"/>
        <v>0.56609195402298851</v>
      </c>
      <c r="D100">
        <f t="shared" si="5"/>
        <v>3</v>
      </c>
      <c r="E100">
        <f t="shared" si="4"/>
        <v>0.5160986067614064</v>
      </c>
    </row>
    <row r="101" spans="1:5">
      <c r="A101">
        <v>1071</v>
      </c>
      <c r="B101">
        <v>1071</v>
      </c>
      <c r="C101">
        <f t="shared" si="3"/>
        <v>0.57183908045977017</v>
      </c>
      <c r="D101">
        <f t="shared" si="5"/>
        <v>0</v>
      </c>
      <c r="E101">
        <f t="shared" si="4"/>
        <v>0</v>
      </c>
    </row>
    <row r="102" spans="1:5">
      <c r="A102">
        <v>1072</v>
      </c>
      <c r="B102">
        <v>1072</v>
      </c>
      <c r="C102">
        <f t="shared" si="3"/>
        <v>0.57758620689655171</v>
      </c>
      <c r="D102">
        <f t="shared" si="5"/>
        <v>1</v>
      </c>
      <c r="E102">
        <f t="shared" si="4"/>
        <v>0.21491088237002773</v>
      </c>
    </row>
    <row r="103" spans="1:5">
      <c r="A103">
        <v>1072</v>
      </c>
      <c r="B103">
        <v>1072</v>
      </c>
      <c r="C103">
        <f t="shared" si="3"/>
        <v>0.58333333333333337</v>
      </c>
      <c r="D103">
        <f t="shared" si="5"/>
        <v>0</v>
      </c>
      <c r="E103">
        <f t="shared" si="4"/>
        <v>0</v>
      </c>
    </row>
    <row r="104" spans="1:5">
      <c r="A104">
        <v>1076</v>
      </c>
      <c r="B104">
        <v>1076</v>
      </c>
      <c r="C104">
        <f t="shared" si="3"/>
        <v>0.58908045977011492</v>
      </c>
      <c r="D104">
        <f t="shared" si="5"/>
        <v>4</v>
      </c>
      <c r="E104">
        <f t="shared" si="4"/>
        <v>0.62009428216239826</v>
      </c>
    </row>
    <row r="105" spans="1:5">
      <c r="A105">
        <v>1078</v>
      </c>
      <c r="B105">
        <v>1078</v>
      </c>
      <c r="C105">
        <f t="shared" si="3"/>
        <v>0.59482758620689657</v>
      </c>
      <c r="D105">
        <f t="shared" si="5"/>
        <v>2</v>
      </c>
      <c r="E105">
        <f t="shared" si="4"/>
        <v>0.38363507737899155</v>
      </c>
    </row>
    <row r="106" spans="1:5">
      <c r="A106">
        <v>1081</v>
      </c>
      <c r="B106">
        <v>1081</v>
      </c>
      <c r="C106">
        <f t="shared" si="3"/>
        <v>0.60057471264367812</v>
      </c>
      <c r="D106">
        <f t="shared" si="5"/>
        <v>3</v>
      </c>
      <c r="E106">
        <f t="shared" si="4"/>
        <v>0.5160986067614064</v>
      </c>
    </row>
    <row r="107" spans="1:5">
      <c r="A107">
        <v>1092</v>
      </c>
      <c r="B107">
        <v>1092</v>
      </c>
      <c r="C107">
        <f t="shared" si="3"/>
        <v>0.60632183908045978</v>
      </c>
      <c r="D107">
        <f t="shared" si="5"/>
        <v>11</v>
      </c>
      <c r="E107">
        <f t="shared" si="4"/>
        <v>0.93015930819989057</v>
      </c>
    </row>
    <row r="108" spans="1:5">
      <c r="A108">
        <v>1093</v>
      </c>
      <c r="B108">
        <v>1093</v>
      </c>
      <c r="C108">
        <f t="shared" si="3"/>
        <v>0.61206896551724133</v>
      </c>
      <c r="D108">
        <f t="shared" si="5"/>
        <v>1</v>
      </c>
      <c r="E108">
        <f t="shared" si="4"/>
        <v>0.21491088237002773</v>
      </c>
    </row>
    <row r="109" spans="1:5">
      <c r="A109">
        <v>1096</v>
      </c>
      <c r="B109">
        <v>1096</v>
      </c>
      <c r="C109">
        <f t="shared" si="3"/>
        <v>0.61781609195402298</v>
      </c>
      <c r="D109">
        <f t="shared" si="5"/>
        <v>3</v>
      </c>
      <c r="E109">
        <f t="shared" si="4"/>
        <v>0.5160986067614064</v>
      </c>
    </row>
    <row r="110" spans="1:5">
      <c r="A110">
        <v>1102</v>
      </c>
      <c r="B110">
        <v>1102</v>
      </c>
      <c r="C110">
        <f t="shared" si="3"/>
        <v>0.62356321839080464</v>
      </c>
      <c r="D110">
        <f t="shared" si="5"/>
        <v>6</v>
      </c>
      <c r="E110">
        <f t="shared" si="4"/>
        <v>0.765839441621748</v>
      </c>
    </row>
    <row r="111" spans="1:5">
      <c r="A111">
        <v>1103</v>
      </c>
      <c r="B111">
        <v>1103</v>
      </c>
      <c r="C111">
        <f t="shared" si="3"/>
        <v>0.62931034482758619</v>
      </c>
      <c r="D111">
        <f t="shared" si="5"/>
        <v>1</v>
      </c>
      <c r="E111">
        <f t="shared" si="4"/>
        <v>0.21491088237002773</v>
      </c>
    </row>
    <row r="112" spans="1:5">
      <c r="A112">
        <v>1103</v>
      </c>
      <c r="B112">
        <v>1103</v>
      </c>
      <c r="C112">
        <f t="shared" si="3"/>
        <v>0.63505747126436785</v>
      </c>
      <c r="D112">
        <f t="shared" si="5"/>
        <v>0</v>
      </c>
      <c r="E112">
        <f t="shared" si="4"/>
        <v>0</v>
      </c>
    </row>
    <row r="113" spans="1:5">
      <c r="A113">
        <v>1105</v>
      </c>
      <c r="B113">
        <v>1105</v>
      </c>
      <c r="C113">
        <f t="shared" si="3"/>
        <v>0.64080459770114939</v>
      </c>
      <c r="D113">
        <f t="shared" si="5"/>
        <v>2</v>
      </c>
      <c r="E113">
        <f t="shared" si="4"/>
        <v>0.38363507737899155</v>
      </c>
    </row>
    <row r="114" spans="1:5">
      <c r="A114">
        <v>1106</v>
      </c>
      <c r="B114">
        <v>1106</v>
      </c>
      <c r="C114">
        <f t="shared" si="3"/>
        <v>0.64655172413793105</v>
      </c>
      <c r="D114">
        <f t="shared" si="5"/>
        <v>1</v>
      </c>
      <c r="E114">
        <f t="shared" si="4"/>
        <v>0.21491088237002773</v>
      </c>
    </row>
    <row r="115" spans="1:5">
      <c r="A115">
        <v>1118</v>
      </c>
      <c r="B115">
        <v>1118</v>
      </c>
      <c r="C115">
        <f t="shared" si="3"/>
        <v>0.6522988505747126</v>
      </c>
      <c r="D115">
        <f t="shared" si="5"/>
        <v>12</v>
      </c>
      <c r="E115">
        <f t="shared" si="4"/>
        <v>0.94516883289998521</v>
      </c>
    </row>
    <row r="116" spans="1:5">
      <c r="A116">
        <v>1125</v>
      </c>
      <c r="B116">
        <v>1125</v>
      </c>
      <c r="C116">
        <f t="shared" si="3"/>
        <v>0.65804597701149425</v>
      </c>
      <c r="D116">
        <f t="shared" si="5"/>
        <v>7</v>
      </c>
      <c r="E116">
        <f t="shared" si="4"/>
        <v>0.81616309383907648</v>
      </c>
    </row>
    <row r="117" spans="1:5">
      <c r="A117">
        <v>1130</v>
      </c>
      <c r="B117">
        <v>1130</v>
      </c>
      <c r="C117">
        <f t="shared" si="3"/>
        <v>0.66379310344827591</v>
      </c>
      <c r="D117">
        <f t="shared" si="5"/>
        <v>5</v>
      </c>
      <c r="E117">
        <f t="shared" si="4"/>
        <v>0.70174015520029598</v>
      </c>
    </row>
    <row r="118" spans="1:5">
      <c r="A118">
        <v>1139</v>
      </c>
      <c r="B118">
        <v>1139</v>
      </c>
      <c r="C118">
        <f t="shared" si="3"/>
        <v>0.66954022988505746</v>
      </c>
      <c r="D118">
        <f t="shared" si="5"/>
        <v>9</v>
      </c>
      <c r="E118">
        <f t="shared" si="4"/>
        <v>0.88668937955923677</v>
      </c>
    </row>
    <row r="119" spans="1:5">
      <c r="A119">
        <v>1146</v>
      </c>
      <c r="B119">
        <v>1146</v>
      </c>
      <c r="C119">
        <f t="shared" si="3"/>
        <v>0.67528735632183912</v>
      </c>
      <c r="D119">
        <f t="shared" si="5"/>
        <v>7</v>
      </c>
      <c r="E119">
        <f t="shared" si="4"/>
        <v>0.81616309383907648</v>
      </c>
    </row>
    <row r="120" spans="1:5">
      <c r="A120">
        <v>1147</v>
      </c>
      <c r="B120">
        <v>1147</v>
      </c>
      <c r="C120">
        <f t="shared" si="3"/>
        <v>0.68103448275862066</v>
      </c>
      <c r="D120">
        <f t="shared" si="5"/>
        <v>1</v>
      </c>
      <c r="E120">
        <f t="shared" si="4"/>
        <v>0.21491088237002773</v>
      </c>
    </row>
    <row r="121" spans="1:5">
      <c r="A121">
        <v>1157</v>
      </c>
      <c r="B121">
        <v>1157</v>
      </c>
      <c r="C121">
        <f t="shared" si="3"/>
        <v>0.68678160919540232</v>
      </c>
      <c r="D121">
        <f t="shared" si="5"/>
        <v>10</v>
      </c>
      <c r="E121">
        <f t="shared" si="4"/>
        <v>0.91104106498005644</v>
      </c>
    </row>
    <row r="122" spans="1:5">
      <c r="A122">
        <v>1161</v>
      </c>
      <c r="B122">
        <v>1161</v>
      </c>
      <c r="C122">
        <f t="shared" si="3"/>
        <v>0.69252873563218387</v>
      </c>
      <c r="D122">
        <f t="shared" si="5"/>
        <v>4</v>
      </c>
      <c r="E122">
        <f t="shared" si="4"/>
        <v>0.62009428216239826</v>
      </c>
    </row>
    <row r="123" spans="1:5">
      <c r="A123">
        <v>1168</v>
      </c>
      <c r="B123">
        <v>1168</v>
      </c>
      <c r="C123">
        <f t="shared" si="3"/>
        <v>0.69827586206896552</v>
      </c>
      <c r="D123">
        <f t="shared" si="5"/>
        <v>7</v>
      </c>
      <c r="E123">
        <f t="shared" si="4"/>
        <v>0.81616309383907648</v>
      </c>
    </row>
    <row r="124" spans="1:5">
      <c r="A124">
        <v>1178</v>
      </c>
      <c r="B124">
        <v>1178</v>
      </c>
      <c r="C124">
        <f t="shared" si="3"/>
        <v>0.70402298850574707</v>
      </c>
      <c r="D124">
        <f t="shared" si="5"/>
        <v>10</v>
      </c>
      <c r="E124">
        <f t="shared" si="4"/>
        <v>0.91104106498005644</v>
      </c>
    </row>
    <row r="125" spans="1:5">
      <c r="A125">
        <v>1180</v>
      </c>
      <c r="B125">
        <v>1180</v>
      </c>
      <c r="C125">
        <f t="shared" si="3"/>
        <v>0.70977011494252873</v>
      </c>
      <c r="D125">
        <f t="shared" si="5"/>
        <v>2</v>
      </c>
      <c r="E125">
        <f t="shared" si="4"/>
        <v>0.38363507737899155</v>
      </c>
    </row>
    <row r="126" spans="1:5">
      <c r="A126">
        <v>1181</v>
      </c>
      <c r="B126">
        <v>1181</v>
      </c>
      <c r="C126">
        <f t="shared" si="3"/>
        <v>0.71551724137931039</v>
      </c>
      <c r="D126">
        <f t="shared" si="5"/>
        <v>1</v>
      </c>
      <c r="E126">
        <f t="shared" si="4"/>
        <v>0.21491088237002773</v>
      </c>
    </row>
    <row r="127" spans="1:5">
      <c r="A127">
        <v>1182</v>
      </c>
      <c r="B127">
        <v>1182</v>
      </c>
      <c r="C127">
        <f t="shared" si="3"/>
        <v>0.72126436781609193</v>
      </c>
      <c r="D127">
        <f t="shared" si="5"/>
        <v>1</v>
      </c>
      <c r="E127">
        <f t="shared" si="4"/>
        <v>0.21491088237002773</v>
      </c>
    </row>
    <row r="128" spans="1:5">
      <c r="A128">
        <v>1184</v>
      </c>
      <c r="B128">
        <v>1184</v>
      </c>
      <c r="C128">
        <f t="shared" si="3"/>
        <v>0.72701149425287359</v>
      </c>
      <c r="D128">
        <f t="shared" si="5"/>
        <v>2</v>
      </c>
      <c r="E128">
        <f t="shared" si="4"/>
        <v>0.38363507737899155</v>
      </c>
    </row>
    <row r="129" spans="1:5">
      <c r="A129">
        <v>1192</v>
      </c>
      <c r="B129">
        <v>1192</v>
      </c>
      <c r="C129">
        <f t="shared" si="3"/>
        <v>0.73275862068965514</v>
      </c>
      <c r="D129">
        <f t="shared" si="5"/>
        <v>8</v>
      </c>
      <c r="E129">
        <f t="shared" si="4"/>
        <v>0.85567164555429653</v>
      </c>
    </row>
    <row r="130" spans="1:5">
      <c r="A130">
        <v>1201</v>
      </c>
      <c r="B130">
        <v>1201</v>
      </c>
      <c r="C130">
        <f t="shared" si="3"/>
        <v>0.7385057471264368</v>
      </c>
      <c r="D130">
        <f t="shared" si="5"/>
        <v>9</v>
      </c>
      <c r="E130">
        <f t="shared" si="4"/>
        <v>0.88668937955923677</v>
      </c>
    </row>
    <row r="131" spans="1:5">
      <c r="A131">
        <v>1201</v>
      </c>
      <c r="B131">
        <v>1201</v>
      </c>
      <c r="C131">
        <f t="shared" si="3"/>
        <v>0.74425287356321834</v>
      </c>
      <c r="D131">
        <f t="shared" si="5"/>
        <v>0</v>
      </c>
      <c r="E131">
        <f t="shared" si="4"/>
        <v>0</v>
      </c>
    </row>
    <row r="132" spans="1:5">
      <c r="A132">
        <v>1204</v>
      </c>
      <c r="B132">
        <v>1204</v>
      </c>
      <c r="C132">
        <f t="shared" ref="C132:C176" si="6">(ROW(B132)-1-0.5)/COUNTA($B$3:$B$176)</f>
        <v>0.75</v>
      </c>
      <c r="D132">
        <f t="shared" si="5"/>
        <v>3</v>
      </c>
      <c r="E132">
        <f t="shared" ref="E132:E176" si="7">_xlfn.EXPON.DIST(D132 - MIN($D$3:$D$176),0.241958042, TRUE)</f>
        <v>0.5160986067614064</v>
      </c>
    </row>
    <row r="133" spans="1:5">
      <c r="A133">
        <v>1206</v>
      </c>
      <c r="B133">
        <v>1206</v>
      </c>
      <c r="C133">
        <f t="shared" si="6"/>
        <v>0.75574712643678166</v>
      </c>
      <c r="D133">
        <f t="shared" ref="D133:D176" si="8">B133-B132</f>
        <v>2</v>
      </c>
      <c r="E133">
        <f t="shared" si="7"/>
        <v>0.38363507737899155</v>
      </c>
    </row>
    <row r="134" spans="1:5">
      <c r="A134">
        <v>1208</v>
      </c>
      <c r="B134">
        <v>1208</v>
      </c>
      <c r="C134">
        <f t="shared" si="6"/>
        <v>0.7614942528735632</v>
      </c>
      <c r="D134">
        <f t="shared" si="8"/>
        <v>2</v>
      </c>
      <c r="E134">
        <f t="shared" si="7"/>
        <v>0.38363507737899155</v>
      </c>
    </row>
    <row r="135" spans="1:5">
      <c r="A135">
        <v>1208</v>
      </c>
      <c r="B135">
        <v>1208</v>
      </c>
      <c r="C135">
        <f t="shared" si="6"/>
        <v>0.76724137931034486</v>
      </c>
      <c r="D135">
        <f t="shared" si="8"/>
        <v>0</v>
      </c>
      <c r="E135">
        <f t="shared" si="7"/>
        <v>0</v>
      </c>
    </row>
    <row r="136" spans="1:5">
      <c r="A136">
        <v>1210</v>
      </c>
      <c r="B136">
        <v>1210</v>
      </c>
      <c r="C136">
        <f t="shared" si="6"/>
        <v>0.77298850574712641</v>
      </c>
      <c r="D136">
        <f t="shared" si="8"/>
        <v>2</v>
      </c>
      <c r="E136">
        <f t="shared" si="7"/>
        <v>0.38363507737899155</v>
      </c>
    </row>
    <row r="137" spans="1:5">
      <c r="A137">
        <v>1223</v>
      </c>
      <c r="B137">
        <v>1223</v>
      </c>
      <c r="C137">
        <f t="shared" si="6"/>
        <v>0.77873563218390807</v>
      </c>
      <c r="D137">
        <f t="shared" si="8"/>
        <v>13</v>
      </c>
      <c r="E137">
        <f t="shared" si="7"/>
        <v>0.95695264740282782</v>
      </c>
    </row>
    <row r="138" spans="1:5">
      <c r="A138">
        <v>1225</v>
      </c>
      <c r="B138">
        <v>1225</v>
      </c>
      <c r="C138">
        <f t="shared" si="6"/>
        <v>0.78448275862068961</v>
      </c>
      <c r="D138">
        <f t="shared" si="8"/>
        <v>2</v>
      </c>
      <c r="E138">
        <f t="shared" si="7"/>
        <v>0.38363507737899155</v>
      </c>
    </row>
    <row r="139" spans="1:5">
      <c r="A139">
        <v>1228</v>
      </c>
      <c r="B139">
        <v>1228</v>
      </c>
      <c r="C139">
        <f t="shared" si="6"/>
        <v>0.79022988505747127</v>
      </c>
      <c r="D139">
        <f t="shared" si="8"/>
        <v>3</v>
      </c>
      <c r="E139">
        <f t="shared" si="7"/>
        <v>0.5160986067614064</v>
      </c>
    </row>
    <row r="140" spans="1:5">
      <c r="A140">
        <v>1233</v>
      </c>
      <c r="B140">
        <v>1233</v>
      </c>
      <c r="C140">
        <f t="shared" si="6"/>
        <v>0.79597701149425293</v>
      </c>
      <c r="D140">
        <f t="shared" si="8"/>
        <v>5</v>
      </c>
      <c r="E140">
        <f t="shared" si="7"/>
        <v>0.70174015520029598</v>
      </c>
    </row>
    <row r="141" spans="1:5">
      <c r="A141">
        <v>1235</v>
      </c>
      <c r="B141">
        <v>1235</v>
      </c>
      <c r="C141">
        <f t="shared" si="6"/>
        <v>0.80172413793103448</v>
      </c>
      <c r="D141">
        <f t="shared" si="8"/>
        <v>2</v>
      </c>
      <c r="E141">
        <f t="shared" si="7"/>
        <v>0.38363507737899155</v>
      </c>
    </row>
    <row r="142" spans="1:5">
      <c r="A142">
        <v>1251</v>
      </c>
      <c r="B142">
        <v>1251</v>
      </c>
      <c r="C142">
        <f t="shared" si="6"/>
        <v>0.80747126436781613</v>
      </c>
      <c r="D142">
        <f t="shared" si="8"/>
        <v>16</v>
      </c>
      <c r="E142">
        <f t="shared" si="7"/>
        <v>0.97916932610299534</v>
      </c>
    </row>
    <row r="143" spans="1:5">
      <c r="A143">
        <v>1266</v>
      </c>
      <c r="B143">
        <v>1266</v>
      </c>
      <c r="C143">
        <f t="shared" si="6"/>
        <v>0.81321839080459768</v>
      </c>
      <c r="D143">
        <f t="shared" si="8"/>
        <v>15</v>
      </c>
      <c r="E143">
        <f t="shared" si="7"/>
        <v>0.97346712184740469</v>
      </c>
    </row>
    <row r="144" spans="1:5">
      <c r="A144">
        <v>1268</v>
      </c>
      <c r="B144">
        <v>1268</v>
      </c>
      <c r="C144">
        <f t="shared" si="6"/>
        <v>0.81896551724137934</v>
      </c>
      <c r="D144">
        <f t="shared" si="8"/>
        <v>2</v>
      </c>
      <c r="E144">
        <f t="shared" si="7"/>
        <v>0.38363507737899155</v>
      </c>
    </row>
    <row r="145" spans="1:5">
      <c r="A145">
        <v>1271</v>
      </c>
      <c r="B145">
        <v>1271</v>
      </c>
      <c r="C145">
        <f t="shared" si="6"/>
        <v>0.82471264367816088</v>
      </c>
      <c r="D145">
        <f t="shared" si="8"/>
        <v>3</v>
      </c>
      <c r="E145">
        <f t="shared" si="7"/>
        <v>0.5160986067614064</v>
      </c>
    </row>
    <row r="146" spans="1:5">
      <c r="A146">
        <v>1272</v>
      </c>
      <c r="B146">
        <v>1272</v>
      </c>
      <c r="C146">
        <f t="shared" si="6"/>
        <v>0.83045977011494254</v>
      </c>
      <c r="D146">
        <f t="shared" si="8"/>
        <v>1</v>
      </c>
      <c r="E146">
        <f t="shared" si="7"/>
        <v>0.21491088237002773</v>
      </c>
    </row>
    <row r="147" spans="1:5">
      <c r="A147">
        <v>1274</v>
      </c>
      <c r="B147">
        <v>1274</v>
      </c>
      <c r="C147">
        <f t="shared" si="6"/>
        <v>0.83620689655172409</v>
      </c>
      <c r="D147">
        <f t="shared" si="8"/>
        <v>2</v>
      </c>
      <c r="E147">
        <f t="shared" si="7"/>
        <v>0.38363507737899155</v>
      </c>
    </row>
    <row r="148" spans="1:5">
      <c r="A148">
        <v>1274</v>
      </c>
      <c r="B148">
        <v>1274</v>
      </c>
      <c r="C148">
        <f t="shared" si="6"/>
        <v>0.84195402298850575</v>
      </c>
      <c r="D148">
        <f t="shared" si="8"/>
        <v>0</v>
      </c>
      <c r="E148">
        <f t="shared" si="7"/>
        <v>0</v>
      </c>
    </row>
    <row r="149" spans="1:5">
      <c r="A149">
        <v>1278</v>
      </c>
      <c r="B149">
        <v>1278</v>
      </c>
      <c r="C149">
        <f t="shared" si="6"/>
        <v>0.8477011494252874</v>
      </c>
      <c r="D149">
        <f t="shared" si="8"/>
        <v>4</v>
      </c>
      <c r="E149">
        <f t="shared" si="7"/>
        <v>0.62009428216239826</v>
      </c>
    </row>
    <row r="150" spans="1:5">
      <c r="A150">
        <v>1281</v>
      </c>
      <c r="B150">
        <v>1281</v>
      </c>
      <c r="C150">
        <f t="shared" si="6"/>
        <v>0.85344827586206895</v>
      </c>
      <c r="D150">
        <f t="shared" si="8"/>
        <v>3</v>
      </c>
      <c r="E150">
        <f t="shared" si="7"/>
        <v>0.5160986067614064</v>
      </c>
    </row>
    <row r="151" spans="1:5">
      <c r="A151">
        <v>1282</v>
      </c>
      <c r="B151">
        <v>1282</v>
      </c>
      <c r="C151">
        <f t="shared" si="6"/>
        <v>0.85919540229885061</v>
      </c>
      <c r="D151">
        <f t="shared" si="8"/>
        <v>1</v>
      </c>
      <c r="E151">
        <f t="shared" si="7"/>
        <v>0.21491088237002773</v>
      </c>
    </row>
    <row r="152" spans="1:5">
      <c r="A152">
        <v>1283</v>
      </c>
      <c r="B152">
        <v>1283</v>
      </c>
      <c r="C152">
        <f t="shared" si="6"/>
        <v>0.86494252873563215</v>
      </c>
      <c r="D152">
        <f t="shared" si="8"/>
        <v>1</v>
      </c>
      <c r="E152">
        <f t="shared" si="7"/>
        <v>0.21491088237002773</v>
      </c>
    </row>
    <row r="153" spans="1:5">
      <c r="A153">
        <v>1294</v>
      </c>
      <c r="B153">
        <v>1294</v>
      </c>
      <c r="C153">
        <f t="shared" si="6"/>
        <v>0.87068965517241381</v>
      </c>
      <c r="D153">
        <f t="shared" si="8"/>
        <v>11</v>
      </c>
      <c r="E153">
        <f t="shared" si="7"/>
        <v>0.93015930819989057</v>
      </c>
    </row>
    <row r="154" spans="1:5">
      <c r="A154">
        <v>1295</v>
      </c>
      <c r="B154">
        <v>1295</v>
      </c>
      <c r="C154">
        <f t="shared" si="6"/>
        <v>0.87643678160919536</v>
      </c>
      <c r="D154">
        <f t="shared" si="8"/>
        <v>1</v>
      </c>
      <c r="E154">
        <f t="shared" si="7"/>
        <v>0.21491088237002773</v>
      </c>
    </row>
    <row r="155" spans="1:5">
      <c r="A155">
        <v>1296</v>
      </c>
      <c r="B155">
        <v>1296</v>
      </c>
      <c r="C155">
        <f t="shared" si="6"/>
        <v>0.88218390804597702</v>
      </c>
      <c r="D155">
        <f t="shared" si="8"/>
        <v>1</v>
      </c>
      <c r="E155">
        <f t="shared" si="7"/>
        <v>0.21491088237002773</v>
      </c>
    </row>
    <row r="156" spans="1:5">
      <c r="A156">
        <v>1299</v>
      </c>
      <c r="B156">
        <v>1299</v>
      </c>
      <c r="C156">
        <f t="shared" si="6"/>
        <v>0.88793103448275867</v>
      </c>
      <c r="D156">
        <f t="shared" si="8"/>
        <v>3</v>
      </c>
      <c r="E156">
        <f t="shared" si="7"/>
        <v>0.5160986067614064</v>
      </c>
    </row>
    <row r="157" spans="1:5">
      <c r="A157">
        <v>1318</v>
      </c>
      <c r="B157">
        <v>1318</v>
      </c>
      <c r="C157">
        <f t="shared" si="6"/>
        <v>0.89367816091954022</v>
      </c>
      <c r="D157">
        <f t="shared" si="8"/>
        <v>19</v>
      </c>
      <c r="E157">
        <f t="shared" si="7"/>
        <v>0.9899200078791407</v>
      </c>
    </row>
    <row r="158" spans="1:5">
      <c r="A158">
        <v>1319</v>
      </c>
      <c r="B158">
        <v>1319</v>
      </c>
      <c r="C158">
        <f t="shared" si="6"/>
        <v>0.89942528735632188</v>
      </c>
      <c r="D158">
        <f t="shared" si="8"/>
        <v>1</v>
      </c>
      <c r="E158">
        <f t="shared" si="7"/>
        <v>0.21491088237002773</v>
      </c>
    </row>
    <row r="159" spans="1:5">
      <c r="A159">
        <v>1324</v>
      </c>
      <c r="B159">
        <v>1324</v>
      </c>
      <c r="C159">
        <f t="shared" si="6"/>
        <v>0.90517241379310343</v>
      </c>
      <c r="D159">
        <f t="shared" si="8"/>
        <v>5</v>
      </c>
      <c r="E159">
        <f t="shared" si="7"/>
        <v>0.70174015520029598</v>
      </c>
    </row>
    <row r="160" spans="1:5">
      <c r="A160">
        <v>1331</v>
      </c>
      <c r="B160">
        <v>1331</v>
      </c>
      <c r="C160">
        <f t="shared" si="6"/>
        <v>0.91091954022988508</v>
      </c>
      <c r="D160">
        <f t="shared" si="8"/>
        <v>7</v>
      </c>
      <c r="E160">
        <f t="shared" si="7"/>
        <v>0.81616309383907648</v>
      </c>
    </row>
    <row r="161" spans="1:5">
      <c r="A161">
        <v>1332</v>
      </c>
      <c r="B161">
        <v>1332</v>
      </c>
      <c r="C161">
        <f t="shared" si="6"/>
        <v>0.91666666666666663</v>
      </c>
      <c r="D161">
        <f t="shared" si="8"/>
        <v>1</v>
      </c>
      <c r="E161">
        <f t="shared" si="7"/>
        <v>0.21491088237002773</v>
      </c>
    </row>
    <row r="162" spans="1:5">
      <c r="A162">
        <v>1338</v>
      </c>
      <c r="B162">
        <v>1338</v>
      </c>
      <c r="C162">
        <f t="shared" si="6"/>
        <v>0.92241379310344829</v>
      </c>
      <c r="D162">
        <f t="shared" si="8"/>
        <v>6</v>
      </c>
      <c r="E162">
        <f t="shared" si="7"/>
        <v>0.765839441621748</v>
      </c>
    </row>
    <row r="163" spans="1:5">
      <c r="A163">
        <v>1340</v>
      </c>
      <c r="B163">
        <v>1340</v>
      </c>
      <c r="C163">
        <f t="shared" si="6"/>
        <v>0.92816091954022983</v>
      </c>
      <c r="D163">
        <f t="shared" si="8"/>
        <v>2</v>
      </c>
      <c r="E163">
        <f t="shared" si="7"/>
        <v>0.38363507737899155</v>
      </c>
    </row>
    <row r="164" spans="1:5">
      <c r="A164">
        <v>1344</v>
      </c>
      <c r="B164">
        <v>1344</v>
      </c>
      <c r="C164">
        <f t="shared" si="6"/>
        <v>0.93390804597701149</v>
      </c>
      <c r="D164">
        <f t="shared" si="8"/>
        <v>4</v>
      </c>
      <c r="E164">
        <f t="shared" si="7"/>
        <v>0.62009428216239826</v>
      </c>
    </row>
    <row r="165" spans="1:5">
      <c r="A165">
        <v>1349</v>
      </c>
      <c r="B165">
        <v>1349</v>
      </c>
      <c r="C165">
        <f t="shared" si="6"/>
        <v>0.93965517241379315</v>
      </c>
      <c r="D165">
        <f t="shared" si="8"/>
        <v>5</v>
      </c>
      <c r="E165">
        <f t="shared" si="7"/>
        <v>0.70174015520029598</v>
      </c>
    </row>
    <row r="166" spans="1:5">
      <c r="A166">
        <v>1352</v>
      </c>
      <c r="B166">
        <v>1352</v>
      </c>
      <c r="C166">
        <f t="shared" si="6"/>
        <v>0.9454022988505747</v>
      </c>
      <c r="D166">
        <f t="shared" si="8"/>
        <v>3</v>
      </c>
      <c r="E166">
        <f t="shared" si="7"/>
        <v>0.5160986067614064</v>
      </c>
    </row>
    <row r="167" spans="1:5">
      <c r="A167">
        <v>1353</v>
      </c>
      <c r="B167">
        <v>1353</v>
      </c>
      <c r="C167">
        <f t="shared" si="6"/>
        <v>0.95114942528735635</v>
      </c>
      <c r="D167">
        <f t="shared" si="8"/>
        <v>1</v>
      </c>
      <c r="E167">
        <f t="shared" si="7"/>
        <v>0.21491088237002773</v>
      </c>
    </row>
    <row r="168" spans="1:5">
      <c r="A168">
        <v>1361</v>
      </c>
      <c r="B168">
        <v>1361</v>
      </c>
      <c r="C168">
        <f t="shared" si="6"/>
        <v>0.9568965517241379</v>
      </c>
      <c r="D168">
        <f t="shared" si="8"/>
        <v>8</v>
      </c>
      <c r="E168">
        <f t="shared" si="7"/>
        <v>0.85567164555429653</v>
      </c>
    </row>
    <row r="169" spans="1:5">
      <c r="A169">
        <v>1362</v>
      </c>
      <c r="B169">
        <v>1362</v>
      </c>
      <c r="C169">
        <f t="shared" si="6"/>
        <v>0.96264367816091956</v>
      </c>
      <c r="D169">
        <f t="shared" si="8"/>
        <v>1</v>
      </c>
      <c r="E169">
        <f t="shared" si="7"/>
        <v>0.21491088237002773</v>
      </c>
    </row>
    <row r="170" spans="1:5">
      <c r="A170">
        <v>1363</v>
      </c>
      <c r="B170">
        <v>1363</v>
      </c>
      <c r="C170">
        <f t="shared" si="6"/>
        <v>0.9683908045977011</v>
      </c>
      <c r="D170">
        <f t="shared" si="8"/>
        <v>1</v>
      </c>
      <c r="E170">
        <f t="shared" si="7"/>
        <v>0.21491088237002773</v>
      </c>
    </row>
    <row r="171" spans="1:5">
      <c r="A171">
        <v>1364</v>
      </c>
      <c r="B171">
        <v>1364</v>
      </c>
      <c r="C171">
        <f t="shared" si="6"/>
        <v>0.97413793103448276</v>
      </c>
      <c r="D171">
        <f t="shared" si="8"/>
        <v>1</v>
      </c>
      <c r="E171">
        <f t="shared" si="7"/>
        <v>0.21491088237002773</v>
      </c>
    </row>
    <row r="172" spans="1:5">
      <c r="A172">
        <v>1368</v>
      </c>
      <c r="B172">
        <v>1368</v>
      </c>
      <c r="C172">
        <f t="shared" si="6"/>
        <v>0.97988505747126442</v>
      </c>
      <c r="D172">
        <f t="shared" si="8"/>
        <v>4</v>
      </c>
      <c r="E172">
        <f t="shared" si="7"/>
        <v>0.62009428216239826</v>
      </c>
    </row>
    <row r="173" spans="1:5">
      <c r="A173">
        <v>1373</v>
      </c>
      <c r="B173">
        <v>1373</v>
      </c>
      <c r="C173">
        <f t="shared" si="6"/>
        <v>0.98563218390804597</v>
      </c>
      <c r="D173">
        <f t="shared" si="8"/>
        <v>5</v>
      </c>
      <c r="E173">
        <f t="shared" si="7"/>
        <v>0.70174015520029598</v>
      </c>
    </row>
    <row r="174" spans="1:5">
      <c r="A174">
        <v>1373</v>
      </c>
      <c r="B174">
        <v>1373</v>
      </c>
      <c r="C174">
        <f t="shared" si="6"/>
        <v>0.99137931034482762</v>
      </c>
      <c r="D174">
        <f t="shared" si="8"/>
        <v>0</v>
      </c>
      <c r="E174">
        <f t="shared" si="7"/>
        <v>0</v>
      </c>
    </row>
    <row r="175" spans="1:5">
      <c r="A175">
        <v>1376</v>
      </c>
      <c r="B175">
        <v>1376</v>
      </c>
      <c r="C175">
        <f t="shared" si="6"/>
        <v>0.99712643678160917</v>
      </c>
      <c r="D175">
        <f t="shared" si="8"/>
        <v>3</v>
      </c>
      <c r="E175">
        <f t="shared" si="7"/>
        <v>0.5160986067614064</v>
      </c>
    </row>
    <row r="176" spans="1:5">
      <c r="A176">
        <v>1377</v>
      </c>
      <c r="B176">
        <v>1377</v>
      </c>
      <c r="C176">
        <f t="shared" si="6"/>
        <v>1.0028735632183907</v>
      </c>
      <c r="D176">
        <f t="shared" si="8"/>
        <v>1</v>
      </c>
      <c r="E176">
        <f t="shared" si="7"/>
        <v>0.21491088237002773</v>
      </c>
    </row>
    <row r="177" spans="3:4">
      <c r="D177" s="134">
        <f>AVERAGE(D4:D176)</f>
        <v>4.1329479768786124</v>
      </c>
    </row>
    <row r="179" spans="3:4" ht="30.75">
      <c r="C179" s="129" t="s">
        <v>143</v>
      </c>
      <c r="D179" s="199">
        <f>(1/D177)</f>
        <v>0.24195804195804199</v>
      </c>
    </row>
    <row r="180" spans="3:4">
      <c r="C180" s="128"/>
      <c r="D180" s="128"/>
    </row>
    <row r="181" spans="3:4">
      <c r="C181" s="128"/>
      <c r="D181" s="128"/>
    </row>
    <row r="182" spans="3:4">
      <c r="C182" s="128"/>
      <c r="D182" s="128"/>
    </row>
    <row r="183" spans="3:4">
      <c r="C183" s="128"/>
      <c r="D183" s="128"/>
    </row>
  </sheetData>
  <sortState xmlns:xlrd2="http://schemas.microsoft.com/office/spreadsheetml/2017/richdata2" ref="B3:B176">
    <sortCondition ref="B3:B176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3D95-2A69-4102-A91E-0A3DC6B410A0}">
  <dimension ref="A1:C178"/>
  <sheetViews>
    <sheetView topLeftCell="B1" workbookViewId="0">
      <selection activeCell="K19" sqref="K19"/>
    </sheetView>
  </sheetViews>
  <sheetFormatPr defaultRowHeight="15"/>
  <cols>
    <col min="1" max="1" width="14" customWidth="1"/>
    <col min="2" max="2" width="24.140625" customWidth="1"/>
    <col min="3" max="3" width="15.28515625" customWidth="1"/>
  </cols>
  <sheetData>
    <row r="1" spans="1:3">
      <c r="A1" s="126" t="s">
        <v>1</v>
      </c>
      <c r="B1" s="125" t="s">
        <v>135</v>
      </c>
      <c r="C1" s="125" t="s">
        <v>136</v>
      </c>
    </row>
    <row r="2" spans="1:3">
      <c r="A2">
        <v>662</v>
      </c>
      <c r="B2">
        <f>ROW(A1)/175</f>
        <v>5.7142857142857143E-3</v>
      </c>
      <c r="C2">
        <f xml:space="preserve"> 1 - EXP(- $A$178 * A2)</f>
        <v>0.4748415682593351</v>
      </c>
    </row>
    <row r="3" spans="1:3">
      <c r="A3">
        <v>676</v>
      </c>
      <c r="B3">
        <f t="shared" ref="B3:B66" si="0">ROW(A2)/175</f>
        <v>1.1428571428571429E-2</v>
      </c>
      <c r="C3">
        <f t="shared" ref="C3:C66" si="1" xml:space="preserve"> 1 - EXP(- $A$178 * A3)</f>
        <v>0.48194599828109896</v>
      </c>
    </row>
    <row r="4" spans="1:3">
      <c r="A4">
        <v>682</v>
      </c>
      <c r="B4">
        <f t="shared" si="0"/>
        <v>1.7142857142857144E-2</v>
      </c>
      <c r="C4">
        <f t="shared" si="1"/>
        <v>0.48496125638722509</v>
      </c>
    </row>
    <row r="5" spans="1:3">
      <c r="A5">
        <v>686</v>
      </c>
      <c r="B5">
        <f t="shared" si="0"/>
        <v>2.2857142857142857E-2</v>
      </c>
      <c r="C5">
        <f t="shared" si="1"/>
        <v>0.48696167221145281</v>
      </c>
    </row>
    <row r="6" spans="1:3">
      <c r="A6">
        <v>686</v>
      </c>
      <c r="B6">
        <f t="shared" si="0"/>
        <v>2.8571428571428571E-2</v>
      </c>
      <c r="C6">
        <f t="shared" si="1"/>
        <v>0.48696167221145281</v>
      </c>
    </row>
    <row r="7" spans="1:3">
      <c r="A7">
        <v>697</v>
      </c>
      <c r="B7">
        <f t="shared" si="0"/>
        <v>3.4285714285714287E-2</v>
      </c>
      <c r="C7">
        <f t="shared" si="1"/>
        <v>0.49242284424507887</v>
      </c>
    </row>
    <row r="8" spans="1:3">
      <c r="A8">
        <v>697</v>
      </c>
      <c r="B8">
        <f t="shared" si="0"/>
        <v>0.04</v>
      </c>
      <c r="C8">
        <f t="shared" si="1"/>
        <v>0.49242284424507887</v>
      </c>
    </row>
    <row r="9" spans="1:3">
      <c r="A9">
        <v>699</v>
      </c>
      <c r="B9">
        <f t="shared" si="0"/>
        <v>4.5714285714285714E-2</v>
      </c>
      <c r="C9">
        <f t="shared" si="1"/>
        <v>0.49340952071236621</v>
      </c>
    </row>
    <row r="10" spans="1:3">
      <c r="A10">
        <v>701</v>
      </c>
      <c r="B10">
        <f t="shared" si="0"/>
        <v>5.1428571428571428E-2</v>
      </c>
      <c r="C10">
        <f t="shared" si="1"/>
        <v>0.49439427918464529</v>
      </c>
    </row>
    <row r="11" spans="1:3">
      <c r="A11">
        <v>710</v>
      </c>
      <c r="B11">
        <f t="shared" si="0"/>
        <v>5.7142857142857141E-2</v>
      </c>
      <c r="C11">
        <f t="shared" si="1"/>
        <v>0.49880205691899271</v>
      </c>
    </row>
    <row r="12" spans="1:3">
      <c r="A12">
        <v>718</v>
      </c>
      <c r="B12">
        <f t="shared" si="0"/>
        <v>6.2857142857142861E-2</v>
      </c>
      <c r="C12">
        <f t="shared" si="1"/>
        <v>0.50268781210177882</v>
      </c>
    </row>
    <row r="13" spans="1:3">
      <c r="A13">
        <v>722</v>
      </c>
      <c r="B13">
        <f t="shared" si="0"/>
        <v>6.8571428571428575E-2</v>
      </c>
      <c r="C13">
        <f t="shared" si="1"/>
        <v>0.5046193777996808</v>
      </c>
    </row>
    <row r="14" spans="1:3">
      <c r="A14">
        <v>730</v>
      </c>
      <c r="B14">
        <f t="shared" si="0"/>
        <v>7.4285714285714288E-2</v>
      </c>
      <c r="C14">
        <f t="shared" si="1"/>
        <v>0.50846003167055187</v>
      </c>
    </row>
    <row r="15" spans="1:3">
      <c r="A15">
        <v>731</v>
      </c>
      <c r="B15">
        <f t="shared" si="0"/>
        <v>0.08</v>
      </c>
      <c r="C15">
        <f t="shared" si="1"/>
        <v>0.50893801500386537</v>
      </c>
    </row>
    <row r="16" spans="1:3">
      <c r="A16">
        <v>734</v>
      </c>
      <c r="B16">
        <f t="shared" si="0"/>
        <v>8.5714285714285715E-2</v>
      </c>
      <c r="C16">
        <f t="shared" si="1"/>
        <v>0.51036917800775616</v>
      </c>
    </row>
    <row r="17" spans="1:3">
      <c r="A17">
        <v>737</v>
      </c>
      <c r="B17">
        <f t="shared" si="0"/>
        <v>9.1428571428571428E-2</v>
      </c>
      <c r="C17">
        <f t="shared" si="1"/>
        <v>0.51179616999534705</v>
      </c>
    </row>
    <row r="18" spans="1:3">
      <c r="A18">
        <v>738</v>
      </c>
      <c r="B18">
        <f t="shared" si="0"/>
        <v>9.7142857142857142E-2</v>
      </c>
      <c r="C18">
        <f t="shared" si="1"/>
        <v>0.51227090920077745</v>
      </c>
    </row>
    <row r="19" spans="1:3">
      <c r="A19">
        <v>738</v>
      </c>
      <c r="B19">
        <f t="shared" si="0"/>
        <v>0.10285714285714286</v>
      </c>
      <c r="C19">
        <f t="shared" si="1"/>
        <v>0.51227090920077745</v>
      </c>
    </row>
    <row r="20" spans="1:3">
      <c r="A20">
        <v>747</v>
      </c>
      <c r="B20">
        <f t="shared" si="0"/>
        <v>0.10857142857142857</v>
      </c>
      <c r="C20">
        <f t="shared" si="1"/>
        <v>0.51652284176070085</v>
      </c>
    </row>
    <row r="21" spans="1:3">
      <c r="A21">
        <v>757</v>
      </c>
      <c r="B21">
        <f t="shared" si="0"/>
        <v>0.11428571428571428</v>
      </c>
      <c r="C21">
        <f t="shared" si="1"/>
        <v>0.5212037510297276</v>
      </c>
    </row>
    <row r="22" spans="1:3">
      <c r="A22">
        <v>761</v>
      </c>
      <c r="B22">
        <f t="shared" si="0"/>
        <v>0.12</v>
      </c>
      <c r="C22">
        <f t="shared" si="1"/>
        <v>0.52306340062871226</v>
      </c>
    </row>
    <row r="23" spans="1:3">
      <c r="A23">
        <v>762</v>
      </c>
      <c r="B23">
        <f t="shared" si="0"/>
        <v>0.12571428571428572</v>
      </c>
      <c r="C23">
        <f t="shared" si="1"/>
        <v>0.52352718335287485</v>
      </c>
    </row>
    <row r="24" spans="1:3">
      <c r="A24">
        <v>764</v>
      </c>
      <c r="B24">
        <f t="shared" si="0"/>
        <v>0.13142857142857142</v>
      </c>
      <c r="C24">
        <f t="shared" si="1"/>
        <v>0.52445339626485787</v>
      </c>
    </row>
    <row r="25" spans="1:3">
      <c r="A25">
        <v>769</v>
      </c>
      <c r="B25">
        <f t="shared" si="0"/>
        <v>0.13714285714285715</v>
      </c>
      <c r="C25">
        <f t="shared" si="1"/>
        <v>0.52676105918547889</v>
      </c>
    </row>
    <row r="26" spans="1:3">
      <c r="A26">
        <v>778</v>
      </c>
      <c r="B26">
        <f t="shared" si="0"/>
        <v>0.14285714285714285</v>
      </c>
      <c r="C26">
        <f t="shared" si="1"/>
        <v>0.53088666928139427</v>
      </c>
    </row>
    <row r="27" spans="1:3">
      <c r="A27">
        <v>787</v>
      </c>
      <c r="B27">
        <f t="shared" si="0"/>
        <v>0.14857142857142858</v>
      </c>
      <c r="C27">
        <f t="shared" si="1"/>
        <v>0.53497631306685722</v>
      </c>
    </row>
    <row r="28" spans="1:3">
      <c r="A28">
        <v>793</v>
      </c>
      <c r="B28">
        <f t="shared" si="0"/>
        <v>0.15428571428571428</v>
      </c>
      <c r="C28">
        <f t="shared" si="1"/>
        <v>0.53768291592469342</v>
      </c>
    </row>
    <row r="29" spans="1:3">
      <c r="A29">
        <v>797</v>
      </c>
      <c r="B29">
        <f t="shared" si="0"/>
        <v>0.16</v>
      </c>
      <c r="C29">
        <f t="shared" si="1"/>
        <v>0.53947856027623819</v>
      </c>
    </row>
    <row r="30" spans="1:3">
      <c r="A30">
        <v>798</v>
      </c>
      <c r="B30">
        <f t="shared" si="0"/>
        <v>0.1657142857142857</v>
      </c>
      <c r="C30">
        <f t="shared" si="1"/>
        <v>0.53992638056961051</v>
      </c>
    </row>
    <row r="31" spans="1:3">
      <c r="A31">
        <v>798</v>
      </c>
      <c r="B31">
        <f t="shared" si="0"/>
        <v>0.17142857142857143</v>
      </c>
      <c r="C31">
        <f t="shared" si="1"/>
        <v>0.53992638056961051</v>
      </c>
    </row>
    <row r="32" spans="1:3">
      <c r="A32">
        <v>807</v>
      </c>
      <c r="B32">
        <f t="shared" si="0"/>
        <v>0.17714285714285713</v>
      </c>
      <c r="C32">
        <f t="shared" si="1"/>
        <v>0.54393721781372961</v>
      </c>
    </row>
    <row r="33" spans="1:3">
      <c r="A33">
        <v>811</v>
      </c>
      <c r="B33">
        <f t="shared" si="0"/>
        <v>0.18285714285714286</v>
      </c>
      <c r="C33">
        <f t="shared" si="1"/>
        <v>0.54570857039184295</v>
      </c>
    </row>
    <row r="34" spans="1:3">
      <c r="A34">
        <v>811</v>
      </c>
      <c r="B34">
        <f t="shared" si="0"/>
        <v>0.18857142857142858</v>
      </c>
      <c r="C34">
        <f t="shared" si="1"/>
        <v>0.54570857039184295</v>
      </c>
    </row>
    <row r="35" spans="1:3">
      <c r="A35">
        <v>812</v>
      </c>
      <c r="B35">
        <f t="shared" si="0"/>
        <v>0.19428571428571428</v>
      </c>
      <c r="C35">
        <f t="shared" si="1"/>
        <v>0.54615033249830558</v>
      </c>
    </row>
    <row r="36" spans="1:3">
      <c r="A36">
        <v>816</v>
      </c>
      <c r="B36">
        <f t="shared" si="0"/>
        <v>0.2</v>
      </c>
      <c r="C36">
        <f t="shared" si="1"/>
        <v>0.54791308931602078</v>
      </c>
    </row>
    <row r="37" spans="1:3">
      <c r="A37">
        <v>816</v>
      </c>
      <c r="B37">
        <f t="shared" si="0"/>
        <v>0.20571428571428571</v>
      </c>
      <c r="C37">
        <f t="shared" si="1"/>
        <v>0.54791308931602078</v>
      </c>
    </row>
    <row r="38" spans="1:3">
      <c r="A38">
        <v>817</v>
      </c>
      <c r="B38">
        <f t="shared" si="0"/>
        <v>0.21142857142857144</v>
      </c>
      <c r="C38">
        <f t="shared" si="1"/>
        <v>0.548352707704024</v>
      </c>
    </row>
    <row r="39" spans="1:3">
      <c r="A39">
        <v>820</v>
      </c>
      <c r="B39">
        <f t="shared" si="0"/>
        <v>0.21714285714285714</v>
      </c>
      <c r="C39">
        <f t="shared" si="1"/>
        <v>0.54966899956796555</v>
      </c>
    </row>
    <row r="40" spans="1:3">
      <c r="A40">
        <v>825</v>
      </c>
      <c r="B40">
        <f t="shared" si="0"/>
        <v>0.22285714285714286</v>
      </c>
      <c r="C40">
        <f t="shared" si="1"/>
        <v>0.55185429990139401</v>
      </c>
    </row>
    <row r="41" spans="1:3">
      <c r="A41">
        <v>829</v>
      </c>
      <c r="B41">
        <f t="shared" si="0"/>
        <v>0.22857142857142856</v>
      </c>
      <c r="C41">
        <f t="shared" si="1"/>
        <v>0.55359490245053133</v>
      </c>
    </row>
    <row r="42" spans="1:3">
      <c r="A42">
        <v>830</v>
      </c>
      <c r="B42">
        <f t="shared" si="0"/>
        <v>0.23428571428571429</v>
      </c>
      <c r="C42">
        <f t="shared" si="1"/>
        <v>0.55402899572937492</v>
      </c>
    </row>
    <row r="43" spans="1:3">
      <c r="A43">
        <v>835</v>
      </c>
      <c r="B43">
        <f t="shared" si="0"/>
        <v>0.24</v>
      </c>
      <c r="C43">
        <f t="shared" si="1"/>
        <v>0.55619313851189944</v>
      </c>
    </row>
    <row r="44" spans="1:3">
      <c r="A44">
        <v>836</v>
      </c>
      <c r="B44">
        <f t="shared" si="0"/>
        <v>0.24571428571428572</v>
      </c>
      <c r="C44">
        <f t="shared" si="1"/>
        <v>0.55662470521383489</v>
      </c>
    </row>
    <row r="45" spans="1:3">
      <c r="A45">
        <v>837</v>
      </c>
      <c r="B45">
        <f t="shared" si="0"/>
        <v>0.25142857142857145</v>
      </c>
      <c r="C45">
        <f t="shared" si="1"/>
        <v>0.55705585225164544</v>
      </c>
    </row>
    <row r="46" spans="1:3">
      <c r="A46">
        <v>841</v>
      </c>
      <c r="B46">
        <f t="shared" si="0"/>
        <v>0.25714285714285712</v>
      </c>
      <c r="C46">
        <f t="shared" si="1"/>
        <v>0.55877625191748315</v>
      </c>
    </row>
    <row r="47" spans="1:3">
      <c r="A47">
        <v>843</v>
      </c>
      <c r="B47">
        <f t="shared" si="0"/>
        <v>0.26285714285714284</v>
      </c>
      <c r="C47">
        <f t="shared" si="1"/>
        <v>0.55963394435715541</v>
      </c>
    </row>
    <row r="48" spans="1:3">
      <c r="A48">
        <v>843</v>
      </c>
      <c r="B48">
        <f t="shared" si="0"/>
        <v>0.26857142857142857</v>
      </c>
      <c r="C48">
        <f t="shared" si="1"/>
        <v>0.55963394435715541</v>
      </c>
    </row>
    <row r="49" spans="1:3">
      <c r="A49">
        <v>846</v>
      </c>
      <c r="B49">
        <f t="shared" si="0"/>
        <v>0.2742857142857143</v>
      </c>
      <c r="C49">
        <f t="shared" si="1"/>
        <v>0.56091735791035546</v>
      </c>
    </row>
    <row r="50" spans="1:3">
      <c r="A50">
        <v>849</v>
      </c>
      <c r="B50">
        <f t="shared" si="0"/>
        <v>0.28000000000000003</v>
      </c>
      <c r="C50">
        <f t="shared" si="1"/>
        <v>0.5621970310518517</v>
      </c>
    </row>
    <row r="51" spans="1:3">
      <c r="A51">
        <v>850</v>
      </c>
      <c r="B51">
        <f t="shared" si="0"/>
        <v>0.2857142857142857</v>
      </c>
      <c r="C51">
        <f t="shared" si="1"/>
        <v>0.56262275944814788</v>
      </c>
    </row>
    <row r="52" spans="1:3">
      <c r="A52">
        <v>866</v>
      </c>
      <c r="B52">
        <f t="shared" si="0"/>
        <v>0.29142857142857143</v>
      </c>
      <c r="C52">
        <f t="shared" si="1"/>
        <v>0.56937838439638055</v>
      </c>
    </row>
    <row r="53" spans="1:3">
      <c r="A53">
        <v>873</v>
      </c>
      <c r="B53">
        <f t="shared" si="0"/>
        <v>0.29714285714285715</v>
      </c>
      <c r="C53">
        <f t="shared" si="1"/>
        <v>0.57230106285156901</v>
      </c>
    </row>
    <row r="54" spans="1:3">
      <c r="A54">
        <v>885</v>
      </c>
      <c r="B54">
        <f t="shared" si="0"/>
        <v>0.30285714285714288</v>
      </c>
      <c r="C54">
        <f t="shared" si="1"/>
        <v>0.5772652930366069</v>
      </c>
    </row>
    <row r="55" spans="1:3">
      <c r="A55">
        <v>896</v>
      </c>
      <c r="B55">
        <f t="shared" si="0"/>
        <v>0.30857142857142855</v>
      </c>
      <c r="C55">
        <f t="shared" si="1"/>
        <v>0.5817652043186019</v>
      </c>
    </row>
    <row r="56" spans="1:3">
      <c r="A56">
        <v>900</v>
      </c>
      <c r="B56">
        <f t="shared" si="0"/>
        <v>0.31428571428571428</v>
      </c>
      <c r="C56">
        <f t="shared" si="1"/>
        <v>0.58338963260462762</v>
      </c>
    </row>
    <row r="57" spans="1:3">
      <c r="A57">
        <v>911</v>
      </c>
      <c r="B57">
        <f t="shared" si="0"/>
        <v>0.32</v>
      </c>
      <c r="C57">
        <f t="shared" si="1"/>
        <v>0.58782435173593583</v>
      </c>
    </row>
    <row r="58" spans="1:3">
      <c r="A58">
        <v>912</v>
      </c>
      <c r="B58">
        <f t="shared" si="0"/>
        <v>0.32571428571428573</v>
      </c>
      <c r="C58">
        <f t="shared" si="1"/>
        <v>0.58822515961110722</v>
      </c>
    </row>
    <row r="59" spans="1:3">
      <c r="A59">
        <v>912</v>
      </c>
      <c r="B59">
        <f t="shared" si="0"/>
        <v>0.33142857142857141</v>
      </c>
      <c r="C59">
        <f t="shared" si="1"/>
        <v>0.58822515961110722</v>
      </c>
    </row>
    <row r="60" spans="1:3">
      <c r="A60">
        <v>913</v>
      </c>
      <c r="B60">
        <f t="shared" si="0"/>
        <v>0.33714285714285713</v>
      </c>
      <c r="C60">
        <f t="shared" si="1"/>
        <v>0.58862557773265411</v>
      </c>
    </row>
    <row r="61" spans="1:3">
      <c r="A61">
        <v>914</v>
      </c>
      <c r="B61">
        <f t="shared" si="0"/>
        <v>0.34285714285714286</v>
      </c>
      <c r="C61">
        <f t="shared" si="1"/>
        <v>0.58902560647958069</v>
      </c>
    </row>
    <row r="62" spans="1:3">
      <c r="A62">
        <v>917</v>
      </c>
      <c r="B62">
        <f t="shared" si="0"/>
        <v>0.34857142857142859</v>
      </c>
      <c r="C62">
        <f t="shared" si="1"/>
        <v>0.59022336025715638</v>
      </c>
    </row>
    <row r="63" spans="1:3">
      <c r="A63">
        <v>918</v>
      </c>
      <c r="B63">
        <f t="shared" si="0"/>
        <v>0.35428571428571426</v>
      </c>
      <c r="C63">
        <f t="shared" si="1"/>
        <v>0.59062183528827927</v>
      </c>
    </row>
    <row r="64" spans="1:3">
      <c r="A64">
        <v>926</v>
      </c>
      <c r="B64">
        <f t="shared" si="0"/>
        <v>0.36</v>
      </c>
      <c r="C64">
        <f t="shared" si="1"/>
        <v>0.59379571767787831</v>
      </c>
    </row>
    <row r="65" spans="1:3">
      <c r="A65">
        <v>928</v>
      </c>
      <c r="B65">
        <f t="shared" si="0"/>
        <v>0.36571428571428571</v>
      </c>
      <c r="C65">
        <f t="shared" si="1"/>
        <v>0.59458533596887997</v>
      </c>
    </row>
    <row r="66" spans="1:3">
      <c r="A66">
        <v>930</v>
      </c>
      <c r="B66">
        <f t="shared" si="0"/>
        <v>0.37142857142857144</v>
      </c>
      <c r="C66">
        <f t="shared" si="1"/>
        <v>0.59537341932518817</v>
      </c>
    </row>
    <row r="67" spans="1:3">
      <c r="A67">
        <v>933</v>
      </c>
      <c r="B67">
        <f t="shared" ref="B67:B130" si="2">ROW(A66)/175</f>
        <v>0.37714285714285717</v>
      </c>
      <c r="C67">
        <f t="shared" ref="C67:C130" si="3" xml:space="preserve"> 1 - EXP(- $A$178 * A67)</f>
        <v>0.59655267288247016</v>
      </c>
    </row>
    <row r="68" spans="1:3">
      <c r="A68">
        <v>934</v>
      </c>
      <c r="B68">
        <f t="shared" si="2"/>
        <v>0.38285714285714284</v>
      </c>
      <c r="C68">
        <f t="shared" si="3"/>
        <v>0.59694499316292959</v>
      </c>
    </row>
    <row r="69" spans="1:3">
      <c r="A69">
        <v>941</v>
      </c>
      <c r="B69">
        <f t="shared" si="2"/>
        <v>0.38857142857142857</v>
      </c>
      <c r="C69">
        <f t="shared" si="3"/>
        <v>0.59968057387242846</v>
      </c>
    </row>
    <row r="70" spans="1:3">
      <c r="A70">
        <v>941</v>
      </c>
      <c r="B70">
        <f t="shared" si="2"/>
        <v>0.39428571428571429</v>
      </c>
      <c r="C70">
        <f t="shared" si="3"/>
        <v>0.59968057387242846</v>
      </c>
    </row>
    <row r="71" spans="1:3">
      <c r="A71">
        <v>961</v>
      </c>
      <c r="B71">
        <f t="shared" si="2"/>
        <v>0.4</v>
      </c>
      <c r="C71">
        <f t="shared" si="3"/>
        <v>0.60739464166435042</v>
      </c>
    </row>
    <row r="72" spans="1:3">
      <c r="A72">
        <v>968</v>
      </c>
      <c r="B72">
        <f t="shared" si="2"/>
        <v>0.40571428571428569</v>
      </c>
      <c r="C72">
        <f t="shared" si="3"/>
        <v>0.6100592994070666</v>
      </c>
    </row>
    <row r="73" spans="1:3">
      <c r="A73">
        <v>969</v>
      </c>
      <c r="B73">
        <f t="shared" si="2"/>
        <v>0.41142857142857142</v>
      </c>
      <c r="C73">
        <f t="shared" si="3"/>
        <v>0.61043848557273572</v>
      </c>
    </row>
    <row r="74" spans="1:3">
      <c r="A74">
        <v>969</v>
      </c>
      <c r="B74">
        <f t="shared" si="2"/>
        <v>0.41714285714285715</v>
      </c>
      <c r="C74">
        <f t="shared" si="3"/>
        <v>0.61043848557273572</v>
      </c>
    </row>
    <row r="75" spans="1:3">
      <c r="A75">
        <v>976</v>
      </c>
      <c r="B75">
        <f t="shared" si="2"/>
        <v>0.42285714285714288</v>
      </c>
      <c r="C75">
        <f t="shared" si="3"/>
        <v>0.6130824843966014</v>
      </c>
    </row>
    <row r="76" spans="1:3">
      <c r="A76">
        <v>982</v>
      </c>
      <c r="B76">
        <f t="shared" si="2"/>
        <v>0.42857142857142855</v>
      </c>
      <c r="C76">
        <f t="shared" si="3"/>
        <v>0.61533448162363635</v>
      </c>
    </row>
    <row r="77" spans="1:3">
      <c r="A77">
        <v>988</v>
      </c>
      <c r="B77">
        <f t="shared" si="2"/>
        <v>0.43428571428571427</v>
      </c>
      <c r="C77">
        <f t="shared" si="3"/>
        <v>0.61757337142775548</v>
      </c>
    </row>
    <row r="78" spans="1:3">
      <c r="A78">
        <v>994</v>
      </c>
      <c r="B78">
        <f t="shared" si="2"/>
        <v>0.44</v>
      </c>
      <c r="C78">
        <f t="shared" si="3"/>
        <v>0.61979923009881088</v>
      </c>
    </row>
    <row r="79" spans="1:3">
      <c r="A79">
        <v>995</v>
      </c>
      <c r="B79">
        <f t="shared" si="2"/>
        <v>0.44571428571428573</v>
      </c>
      <c r="C79">
        <f t="shared" si="3"/>
        <v>0.62016894496033748</v>
      </c>
    </row>
    <row r="80" spans="1:3">
      <c r="A80">
        <v>997</v>
      </c>
      <c r="B80">
        <f t="shared" si="2"/>
        <v>0.4514285714285714</v>
      </c>
      <c r="C80">
        <f t="shared" si="3"/>
        <v>0.62090729647853216</v>
      </c>
    </row>
    <row r="81" spans="1:3">
      <c r="A81">
        <v>997</v>
      </c>
      <c r="B81">
        <f t="shared" si="2"/>
        <v>0.45714285714285713</v>
      </c>
      <c r="C81">
        <f t="shared" si="3"/>
        <v>0.62090729647853216</v>
      </c>
    </row>
    <row r="82" spans="1:3">
      <c r="A82">
        <v>1006</v>
      </c>
      <c r="B82">
        <f t="shared" si="2"/>
        <v>0.46285714285714286</v>
      </c>
      <c r="C82">
        <f t="shared" si="3"/>
        <v>0.62421215698355348</v>
      </c>
    </row>
    <row r="83" spans="1:3">
      <c r="A83">
        <v>1010</v>
      </c>
      <c r="B83">
        <f t="shared" si="2"/>
        <v>0.46857142857142858</v>
      </c>
      <c r="C83">
        <f t="shared" si="3"/>
        <v>0.62567172086499934</v>
      </c>
    </row>
    <row r="84" spans="1:3">
      <c r="A84">
        <v>1012</v>
      </c>
      <c r="B84">
        <f t="shared" si="2"/>
        <v>0.47428571428571431</v>
      </c>
      <c r="C84">
        <f t="shared" si="3"/>
        <v>0.62639937556709757</v>
      </c>
    </row>
    <row r="85" spans="1:3">
      <c r="A85">
        <v>1013</v>
      </c>
      <c r="B85">
        <f t="shared" si="2"/>
        <v>0.48</v>
      </c>
      <c r="C85">
        <f t="shared" si="3"/>
        <v>0.62676267231466687</v>
      </c>
    </row>
    <row r="86" spans="1:3">
      <c r="A86">
        <v>1014</v>
      </c>
      <c r="B86">
        <f t="shared" si="2"/>
        <v>0.48571428571428571</v>
      </c>
      <c r="C86">
        <f t="shared" si="3"/>
        <v>0.62712561578518544</v>
      </c>
    </row>
    <row r="87" spans="1:3">
      <c r="A87">
        <v>1016</v>
      </c>
      <c r="B87">
        <f t="shared" si="2"/>
        <v>0.49142857142857144</v>
      </c>
      <c r="C87">
        <f t="shared" si="3"/>
        <v>0.62785044426887049</v>
      </c>
    </row>
    <row r="88" spans="1:3">
      <c r="A88">
        <v>1022</v>
      </c>
      <c r="B88">
        <f t="shared" si="2"/>
        <v>0.49714285714285716</v>
      </c>
      <c r="C88">
        <f t="shared" si="3"/>
        <v>0.63001648672947552</v>
      </c>
    </row>
    <row r="89" spans="1:3">
      <c r="A89">
        <v>1026</v>
      </c>
      <c r="B89">
        <f t="shared" si="2"/>
        <v>0.50285714285714289</v>
      </c>
      <c r="C89">
        <f t="shared" si="3"/>
        <v>0.63145350653396282</v>
      </c>
    </row>
    <row r="90" spans="1:3">
      <c r="A90">
        <v>1036</v>
      </c>
      <c r="B90">
        <f t="shared" si="2"/>
        <v>0.50857142857142856</v>
      </c>
      <c r="C90">
        <f t="shared" si="3"/>
        <v>0.63502168481898247</v>
      </c>
    </row>
    <row r="91" spans="1:3">
      <c r="A91">
        <v>1039</v>
      </c>
      <c r="B91">
        <f t="shared" si="2"/>
        <v>0.51428571428571423</v>
      </c>
      <c r="C91">
        <f t="shared" si="3"/>
        <v>0.63608538650607915</v>
      </c>
    </row>
    <row r="92" spans="1:3">
      <c r="A92">
        <v>1040</v>
      </c>
      <c r="B92">
        <f t="shared" si="2"/>
        <v>0.52</v>
      </c>
      <c r="C92">
        <f t="shared" si="3"/>
        <v>0.63643926438215603</v>
      </c>
    </row>
    <row r="93" spans="1:3">
      <c r="A93">
        <v>1045</v>
      </c>
      <c r="B93">
        <f t="shared" si="2"/>
        <v>0.52571428571428569</v>
      </c>
      <c r="C93">
        <f t="shared" si="3"/>
        <v>0.6382034986809384</v>
      </c>
    </row>
    <row r="94" spans="1:3">
      <c r="A94">
        <v>1052</v>
      </c>
      <c r="B94">
        <f t="shared" si="2"/>
        <v>0.53142857142857147</v>
      </c>
      <c r="C94">
        <f t="shared" si="3"/>
        <v>0.64065905316601812</v>
      </c>
    </row>
    <row r="95" spans="1:3">
      <c r="A95">
        <v>1055</v>
      </c>
      <c r="B95">
        <f t="shared" si="2"/>
        <v>0.53714285714285714</v>
      </c>
      <c r="C95">
        <f t="shared" si="3"/>
        <v>0.64170632516956361</v>
      </c>
    </row>
    <row r="96" spans="1:3">
      <c r="A96">
        <v>1062</v>
      </c>
      <c r="B96">
        <f t="shared" si="2"/>
        <v>0.54285714285714282</v>
      </c>
      <c r="C96">
        <f t="shared" si="3"/>
        <v>0.64413810556820739</v>
      </c>
    </row>
    <row r="97" spans="1:3">
      <c r="A97">
        <v>1065</v>
      </c>
      <c r="B97">
        <f t="shared" si="2"/>
        <v>0.5485714285714286</v>
      </c>
      <c r="C97">
        <f t="shared" si="3"/>
        <v>0.64517523813673494</v>
      </c>
    </row>
    <row r="98" spans="1:3">
      <c r="A98">
        <v>1068</v>
      </c>
      <c r="B98">
        <f t="shared" si="2"/>
        <v>0.55428571428571427</v>
      </c>
      <c r="C98">
        <f t="shared" si="3"/>
        <v>0.64620934806085595</v>
      </c>
    </row>
    <row r="99" spans="1:3">
      <c r="A99">
        <v>1071</v>
      </c>
      <c r="B99">
        <f t="shared" si="2"/>
        <v>0.56000000000000005</v>
      </c>
      <c r="C99">
        <f t="shared" si="3"/>
        <v>0.64724044414983894</v>
      </c>
    </row>
    <row r="100" spans="1:3">
      <c r="A100">
        <v>1071</v>
      </c>
      <c r="B100">
        <f t="shared" si="2"/>
        <v>0.56571428571428573</v>
      </c>
      <c r="C100">
        <f t="shared" si="3"/>
        <v>0.64724044414983894</v>
      </c>
    </row>
    <row r="101" spans="1:3">
      <c r="A101">
        <v>1072</v>
      </c>
      <c r="B101">
        <f t="shared" si="2"/>
        <v>0.5714285714285714</v>
      </c>
      <c r="C101">
        <f t="shared" si="3"/>
        <v>0.64758347462391508</v>
      </c>
    </row>
    <row r="102" spans="1:3">
      <c r="A102">
        <v>1072</v>
      </c>
      <c r="B102">
        <f t="shared" si="2"/>
        <v>0.57714285714285718</v>
      </c>
      <c r="C102">
        <f t="shared" si="3"/>
        <v>0.64758347462391508</v>
      </c>
    </row>
    <row r="103" spans="1:3">
      <c r="A103">
        <v>1076</v>
      </c>
      <c r="B103">
        <f t="shared" si="2"/>
        <v>0.58285714285714285</v>
      </c>
      <c r="C103">
        <f t="shared" si="3"/>
        <v>0.64895226406514539</v>
      </c>
    </row>
    <row r="104" spans="1:3">
      <c r="A104">
        <v>1078</v>
      </c>
      <c r="B104">
        <f t="shared" si="2"/>
        <v>0.58857142857142852</v>
      </c>
      <c r="C104">
        <f t="shared" si="3"/>
        <v>0.6496346638461723</v>
      </c>
    </row>
    <row r="105" spans="1:3">
      <c r="A105">
        <v>1081</v>
      </c>
      <c r="B105">
        <f t="shared" si="2"/>
        <v>0.59428571428571431</v>
      </c>
      <c r="C105">
        <f t="shared" si="3"/>
        <v>0.65065577711144185</v>
      </c>
    </row>
    <row r="106" spans="1:3">
      <c r="A106">
        <v>1092</v>
      </c>
      <c r="B106">
        <f t="shared" si="2"/>
        <v>0.6</v>
      </c>
      <c r="C106">
        <f t="shared" si="3"/>
        <v>0.65437446399468424</v>
      </c>
    </row>
    <row r="107" spans="1:3">
      <c r="A107">
        <v>1093</v>
      </c>
      <c r="B107">
        <f t="shared" si="2"/>
        <v>0.60571428571428576</v>
      </c>
      <c r="C107">
        <f t="shared" si="3"/>
        <v>0.65471055720464122</v>
      </c>
    </row>
    <row r="108" spans="1:3">
      <c r="A108">
        <v>1096</v>
      </c>
      <c r="B108">
        <f t="shared" si="2"/>
        <v>0.61142857142857143</v>
      </c>
      <c r="C108">
        <f t="shared" si="3"/>
        <v>0.65571687716273519</v>
      </c>
    </row>
    <row r="109" spans="1:3">
      <c r="A109">
        <v>1102</v>
      </c>
      <c r="B109">
        <f t="shared" si="2"/>
        <v>0.6171428571428571</v>
      </c>
      <c r="C109">
        <f t="shared" si="3"/>
        <v>0.65772072709631946</v>
      </c>
    </row>
    <row r="110" spans="1:3">
      <c r="A110">
        <v>1103</v>
      </c>
      <c r="B110">
        <f t="shared" si="2"/>
        <v>0.62285714285714289</v>
      </c>
      <c r="C110">
        <f t="shared" si="3"/>
        <v>0.65805356633285728</v>
      </c>
    </row>
    <row r="111" spans="1:3">
      <c r="A111">
        <v>1103</v>
      </c>
      <c r="B111">
        <f t="shared" si="2"/>
        <v>0.62857142857142856</v>
      </c>
      <c r="C111">
        <f t="shared" si="3"/>
        <v>0.65805356633285728</v>
      </c>
    </row>
    <row r="112" spans="1:3">
      <c r="A112">
        <v>1105</v>
      </c>
      <c r="B112">
        <f t="shared" si="2"/>
        <v>0.63428571428571423</v>
      </c>
      <c r="C112">
        <f t="shared" si="3"/>
        <v>0.65871827414199891</v>
      </c>
    </row>
    <row r="113" spans="1:3">
      <c r="A113">
        <v>1106</v>
      </c>
      <c r="B113">
        <f t="shared" si="2"/>
        <v>0.64</v>
      </c>
      <c r="C113">
        <f t="shared" si="3"/>
        <v>0.65905014334376288</v>
      </c>
    </row>
    <row r="114" spans="1:3">
      <c r="A114">
        <v>1118</v>
      </c>
      <c r="B114">
        <f t="shared" si="2"/>
        <v>0.64571428571428569</v>
      </c>
      <c r="C114">
        <f t="shared" si="3"/>
        <v>0.66300749142903492</v>
      </c>
    </row>
    <row r="115" spans="1:3">
      <c r="A115">
        <v>1125</v>
      </c>
      <c r="B115">
        <f t="shared" si="2"/>
        <v>0.65142857142857147</v>
      </c>
      <c r="C115">
        <f t="shared" si="3"/>
        <v>0.66529469836122679</v>
      </c>
    </row>
    <row r="116" spans="1:3">
      <c r="A116">
        <v>1130</v>
      </c>
      <c r="B116">
        <f t="shared" si="2"/>
        <v>0.65714285714285714</v>
      </c>
      <c r="C116">
        <f t="shared" si="3"/>
        <v>0.66691890723552083</v>
      </c>
    </row>
    <row r="117" spans="1:3">
      <c r="A117">
        <v>1139</v>
      </c>
      <c r="B117">
        <f t="shared" si="2"/>
        <v>0.66285714285714281</v>
      </c>
      <c r="C117">
        <f t="shared" si="3"/>
        <v>0.66982264697575133</v>
      </c>
    </row>
    <row r="118" spans="1:3">
      <c r="A118">
        <v>1146</v>
      </c>
      <c r="B118">
        <f t="shared" si="2"/>
        <v>0.66857142857142859</v>
      </c>
      <c r="C118">
        <f t="shared" si="3"/>
        <v>0.67206359866305199</v>
      </c>
    </row>
    <row r="119" spans="1:3">
      <c r="A119">
        <v>1147</v>
      </c>
      <c r="B119">
        <f t="shared" si="2"/>
        <v>0.67428571428571427</v>
      </c>
      <c r="C119">
        <f t="shared" si="3"/>
        <v>0.67238249060333222</v>
      </c>
    </row>
    <row r="120" spans="1:3">
      <c r="A120">
        <v>1157</v>
      </c>
      <c r="B120">
        <f t="shared" si="2"/>
        <v>0.68</v>
      </c>
      <c r="C120">
        <f t="shared" si="3"/>
        <v>0.67555440433347647</v>
      </c>
    </row>
    <row r="121" spans="1:3">
      <c r="A121">
        <v>1161</v>
      </c>
      <c r="B121">
        <f t="shared" si="2"/>
        <v>0.68571428571428572</v>
      </c>
      <c r="C121">
        <f t="shared" si="3"/>
        <v>0.6768145543934887</v>
      </c>
    </row>
    <row r="122" spans="1:3">
      <c r="A122">
        <v>1168</v>
      </c>
      <c r="B122">
        <f t="shared" si="2"/>
        <v>0.69142857142857139</v>
      </c>
      <c r="C122">
        <f t="shared" si="3"/>
        <v>0.67900805120061158</v>
      </c>
    </row>
    <row r="123" spans="1:3">
      <c r="A123">
        <v>1178</v>
      </c>
      <c r="B123">
        <f t="shared" si="2"/>
        <v>0.69714285714285718</v>
      </c>
      <c r="C123">
        <f t="shared" si="3"/>
        <v>0.68211581785062214</v>
      </c>
    </row>
    <row r="124" spans="1:3">
      <c r="A124">
        <v>1180</v>
      </c>
      <c r="B124">
        <f t="shared" si="2"/>
        <v>0.70285714285714285</v>
      </c>
      <c r="C124">
        <f t="shared" si="3"/>
        <v>0.68273375118015367</v>
      </c>
    </row>
    <row r="125" spans="1:3">
      <c r="A125">
        <v>1181</v>
      </c>
      <c r="B125">
        <f t="shared" si="2"/>
        <v>0.70857142857142852</v>
      </c>
      <c r="C125">
        <f t="shared" si="3"/>
        <v>0.68304226724991324</v>
      </c>
    </row>
    <row r="126" spans="1:3">
      <c r="A126">
        <v>1182</v>
      </c>
      <c r="B126">
        <f t="shared" si="2"/>
        <v>0.7142857142857143</v>
      </c>
      <c r="C126">
        <f t="shared" si="3"/>
        <v>0.68335048331245274</v>
      </c>
    </row>
    <row r="127" spans="1:3">
      <c r="A127">
        <v>1184</v>
      </c>
      <c r="B127">
        <f t="shared" si="2"/>
        <v>0.72</v>
      </c>
      <c r="C127">
        <f t="shared" si="3"/>
        <v>0.68396601658252054</v>
      </c>
    </row>
    <row r="128" spans="1:3">
      <c r="A128">
        <v>1192</v>
      </c>
      <c r="B128">
        <f t="shared" si="2"/>
        <v>0.72571428571428576</v>
      </c>
      <c r="C128">
        <f t="shared" si="3"/>
        <v>0.68641620758181321</v>
      </c>
    </row>
    <row r="129" spans="1:3">
      <c r="A129">
        <v>1201</v>
      </c>
      <c r="B129">
        <f t="shared" si="2"/>
        <v>0.73142857142857143</v>
      </c>
      <c r="C129">
        <f t="shared" si="3"/>
        <v>0.68914997344159046</v>
      </c>
    </row>
    <row r="130" spans="1:3">
      <c r="A130">
        <v>1201</v>
      </c>
      <c r="B130">
        <f t="shared" si="2"/>
        <v>0.7371428571428571</v>
      </c>
      <c r="C130">
        <f t="shared" si="3"/>
        <v>0.68914997344159046</v>
      </c>
    </row>
    <row r="131" spans="1:3">
      <c r="A131">
        <v>1204</v>
      </c>
      <c r="B131">
        <f t="shared" ref="B131:B175" si="4">ROW(A130)/175</f>
        <v>0.74285714285714288</v>
      </c>
      <c r="C131">
        <f t="shared" ref="C131:C175" si="5" xml:space="preserve"> 1 - EXP(- $A$178 * A131)</f>
        <v>0.69005592232658175</v>
      </c>
    </row>
    <row r="132" spans="1:3">
      <c r="A132">
        <v>1206</v>
      </c>
      <c r="B132">
        <f t="shared" si="4"/>
        <v>0.74857142857142855</v>
      </c>
      <c r="C132">
        <f t="shared" si="5"/>
        <v>0.69065842093028795</v>
      </c>
    </row>
    <row r="133" spans="1:3">
      <c r="A133">
        <v>1208</v>
      </c>
      <c r="B133">
        <f t="shared" si="4"/>
        <v>0.75428571428571434</v>
      </c>
      <c r="C133">
        <f t="shared" si="5"/>
        <v>0.69125974834024129</v>
      </c>
    </row>
    <row r="134" spans="1:3">
      <c r="A134">
        <v>1208</v>
      </c>
      <c r="B134">
        <f t="shared" si="4"/>
        <v>0.76</v>
      </c>
      <c r="C134">
        <f t="shared" si="5"/>
        <v>0.69125974834024129</v>
      </c>
    </row>
    <row r="135" spans="1:3">
      <c r="A135">
        <v>1210</v>
      </c>
      <c r="B135">
        <f t="shared" si="4"/>
        <v>0.76571428571428568</v>
      </c>
      <c r="C135">
        <f t="shared" si="5"/>
        <v>0.69185990683311904</v>
      </c>
    </row>
    <row r="136" spans="1:3">
      <c r="A136">
        <v>1223</v>
      </c>
      <c r="B136">
        <f t="shared" si="4"/>
        <v>0.77142857142857146</v>
      </c>
      <c r="C136">
        <f t="shared" si="5"/>
        <v>0.69573260119176805</v>
      </c>
    </row>
    <row r="137" spans="1:3">
      <c r="A137">
        <v>1225</v>
      </c>
      <c r="B137">
        <f t="shared" si="4"/>
        <v>0.77714285714285714</v>
      </c>
      <c r="C137">
        <f t="shared" si="5"/>
        <v>0.69632406493036036</v>
      </c>
    </row>
    <row r="138" spans="1:3">
      <c r="A138">
        <v>1228</v>
      </c>
      <c r="B138">
        <f t="shared" si="4"/>
        <v>0.78285714285714281</v>
      </c>
      <c r="C138">
        <f t="shared" si="5"/>
        <v>0.69720910546846482</v>
      </c>
    </row>
    <row r="139" spans="1:3">
      <c r="A139">
        <v>1233</v>
      </c>
      <c r="B139">
        <f t="shared" si="4"/>
        <v>0.78857142857142859</v>
      </c>
      <c r="C139">
        <f t="shared" si="5"/>
        <v>0.6986784447814236</v>
      </c>
    </row>
    <row r="140" spans="1:3">
      <c r="A140">
        <v>1235</v>
      </c>
      <c r="B140">
        <f t="shared" si="4"/>
        <v>0.79428571428571426</v>
      </c>
      <c r="C140">
        <f t="shared" si="5"/>
        <v>0.69926418211071384</v>
      </c>
    </row>
    <row r="141" spans="1:3">
      <c r="A141">
        <v>1251</v>
      </c>
      <c r="B141">
        <f t="shared" si="4"/>
        <v>0.8</v>
      </c>
      <c r="C141">
        <f t="shared" si="5"/>
        <v>0.70390927610690956</v>
      </c>
    </row>
    <row r="142" spans="1:3">
      <c r="A142">
        <v>1266</v>
      </c>
      <c r="B142">
        <f t="shared" si="4"/>
        <v>0.80571428571428572</v>
      </c>
      <c r="C142">
        <f t="shared" si="5"/>
        <v>0.70819886980762126</v>
      </c>
    </row>
    <row r="143" spans="1:3">
      <c r="A143">
        <v>1268</v>
      </c>
      <c r="B143">
        <f t="shared" si="4"/>
        <v>0.81142857142857139</v>
      </c>
      <c r="C143">
        <f t="shared" si="5"/>
        <v>0.70876610043457977</v>
      </c>
    </row>
    <row r="144" spans="1:3">
      <c r="A144">
        <v>1271</v>
      </c>
      <c r="B144">
        <f t="shared" si="4"/>
        <v>0.81714285714285717</v>
      </c>
      <c r="C144">
        <f t="shared" si="5"/>
        <v>0.70961487960151159</v>
      </c>
    </row>
    <row r="145" spans="1:3">
      <c r="A145">
        <v>1272</v>
      </c>
      <c r="B145">
        <f t="shared" si="4"/>
        <v>0.82285714285714284</v>
      </c>
      <c r="C145">
        <f t="shared" si="5"/>
        <v>0.70989725592233122</v>
      </c>
    </row>
    <row r="146" spans="1:3">
      <c r="A146">
        <v>1274</v>
      </c>
      <c r="B146">
        <f t="shared" si="4"/>
        <v>0.82857142857142863</v>
      </c>
      <c r="C146">
        <f t="shared" si="5"/>
        <v>0.71046118506577582</v>
      </c>
    </row>
    <row r="147" spans="1:3">
      <c r="A147">
        <v>1274</v>
      </c>
      <c r="B147">
        <f t="shared" si="4"/>
        <v>0.8342857142857143</v>
      </c>
      <c r="C147">
        <f t="shared" si="5"/>
        <v>0.71046118506577582</v>
      </c>
    </row>
    <row r="148" spans="1:3">
      <c r="A148">
        <v>1278</v>
      </c>
      <c r="B148">
        <f t="shared" si="4"/>
        <v>0.84</v>
      </c>
      <c r="C148">
        <f t="shared" si="5"/>
        <v>0.71158575682723169</v>
      </c>
    </row>
    <row r="149" spans="1:3">
      <c r="A149">
        <v>1281</v>
      </c>
      <c r="B149">
        <f t="shared" si="4"/>
        <v>0.84571428571428575</v>
      </c>
      <c r="C149">
        <f t="shared" si="5"/>
        <v>0.71242631831892866</v>
      </c>
    </row>
    <row r="150" spans="1:3">
      <c r="A150">
        <v>1282</v>
      </c>
      <c r="B150">
        <f t="shared" si="4"/>
        <v>0.85142857142857142</v>
      </c>
      <c r="C150">
        <f t="shared" si="5"/>
        <v>0.71270596074029724</v>
      </c>
    </row>
    <row r="151" spans="1:3">
      <c r="A151">
        <v>1283</v>
      </c>
      <c r="B151">
        <f t="shared" si="4"/>
        <v>0.8571428571428571</v>
      </c>
      <c r="C151">
        <f t="shared" si="5"/>
        <v>0.71298533123176133</v>
      </c>
    </row>
    <row r="152" spans="1:3">
      <c r="A152">
        <v>1294</v>
      </c>
      <c r="B152">
        <f t="shared" si="4"/>
        <v>0.86285714285714288</v>
      </c>
      <c r="C152">
        <f t="shared" si="5"/>
        <v>0.71604053470763807</v>
      </c>
    </row>
    <row r="153" spans="1:3">
      <c r="A153">
        <v>1295</v>
      </c>
      <c r="B153">
        <f t="shared" si="4"/>
        <v>0.86857142857142855</v>
      </c>
      <c r="C153">
        <f t="shared" si="5"/>
        <v>0.71631666259243176</v>
      </c>
    </row>
    <row r="154" spans="1:3">
      <c r="A154">
        <v>1296</v>
      </c>
      <c r="B154">
        <f t="shared" si="4"/>
        <v>0.87428571428571433</v>
      </c>
      <c r="C154">
        <f t="shared" si="5"/>
        <v>0.71659252196492673</v>
      </c>
    </row>
    <row r="155" spans="1:3">
      <c r="A155">
        <v>1299</v>
      </c>
      <c r="B155">
        <f t="shared" si="4"/>
        <v>0.88</v>
      </c>
      <c r="C155">
        <f t="shared" si="5"/>
        <v>0.71741849161841764</v>
      </c>
    </row>
    <row r="156" spans="1:3">
      <c r="A156">
        <v>1318</v>
      </c>
      <c r="B156">
        <f t="shared" si="4"/>
        <v>0.88571428571428568</v>
      </c>
      <c r="C156">
        <f t="shared" si="5"/>
        <v>0.72259402034077125</v>
      </c>
    </row>
    <row r="157" spans="1:3">
      <c r="A157">
        <v>1319</v>
      </c>
      <c r="B157">
        <f t="shared" si="4"/>
        <v>0.89142857142857146</v>
      </c>
      <c r="C157">
        <f t="shared" si="5"/>
        <v>0.72286377548456804</v>
      </c>
    </row>
    <row r="158" spans="1:3">
      <c r="A158">
        <v>1324</v>
      </c>
      <c r="B158">
        <f t="shared" si="4"/>
        <v>0.89714285714285713</v>
      </c>
      <c r="C158">
        <f t="shared" si="5"/>
        <v>0.72420862157168542</v>
      </c>
    </row>
    <row r="159" spans="1:3">
      <c r="A159">
        <v>1331</v>
      </c>
      <c r="B159">
        <f t="shared" si="4"/>
        <v>0.9028571428571428</v>
      </c>
      <c r="C159">
        <f t="shared" si="5"/>
        <v>0.72608044939140426</v>
      </c>
    </row>
    <row r="160" spans="1:3">
      <c r="A160">
        <v>1332</v>
      </c>
      <c r="B160">
        <f t="shared" si="4"/>
        <v>0.90857142857142859</v>
      </c>
      <c r="C160">
        <f t="shared" si="5"/>
        <v>0.72634681426159897</v>
      </c>
    </row>
    <row r="161" spans="1:3">
      <c r="A161">
        <v>1338</v>
      </c>
      <c r="B161">
        <f t="shared" si="4"/>
        <v>0.91428571428571426</v>
      </c>
      <c r="C161">
        <f t="shared" si="5"/>
        <v>0.72793957290032618</v>
      </c>
    </row>
    <row r="162" spans="1:3">
      <c r="A162">
        <v>1340</v>
      </c>
      <c r="B162">
        <f t="shared" si="4"/>
        <v>0.92</v>
      </c>
      <c r="C162">
        <f t="shared" si="5"/>
        <v>0.72846842968210979</v>
      </c>
    </row>
    <row r="163" spans="1:3">
      <c r="A163">
        <v>1344</v>
      </c>
      <c r="B163">
        <f t="shared" si="4"/>
        <v>0.92571428571428571</v>
      </c>
      <c r="C163">
        <f t="shared" si="5"/>
        <v>0.72952306111863274</v>
      </c>
    </row>
    <row r="164" spans="1:3">
      <c r="A164">
        <v>1349</v>
      </c>
      <c r="B164">
        <f t="shared" si="4"/>
        <v>0.93142857142857138</v>
      </c>
      <c r="C164">
        <f t="shared" si="5"/>
        <v>0.73083559199959602</v>
      </c>
    </row>
    <row r="165" spans="1:3">
      <c r="A165">
        <v>1352</v>
      </c>
      <c r="B165">
        <f t="shared" si="4"/>
        <v>0.93714285714285717</v>
      </c>
      <c r="C165">
        <f t="shared" si="5"/>
        <v>0.73162005130303287</v>
      </c>
    </row>
    <row r="166" spans="1:3">
      <c r="A166">
        <v>1353</v>
      </c>
      <c r="B166">
        <f t="shared" si="4"/>
        <v>0.94285714285714284</v>
      </c>
      <c r="C166">
        <f t="shared" si="5"/>
        <v>0.73188102935311616</v>
      </c>
    </row>
    <row r="167" spans="1:3">
      <c r="A167">
        <v>1361</v>
      </c>
      <c r="B167">
        <f t="shared" si="4"/>
        <v>0.94857142857142862</v>
      </c>
      <c r="C167">
        <f t="shared" si="5"/>
        <v>0.73395973836255446</v>
      </c>
    </row>
    <row r="168" spans="1:3">
      <c r="A168">
        <v>1362</v>
      </c>
      <c r="B168">
        <f t="shared" si="4"/>
        <v>0.95428571428571429</v>
      </c>
      <c r="C168">
        <f t="shared" si="5"/>
        <v>0.73421844125396984</v>
      </c>
    </row>
    <row r="169" spans="1:3">
      <c r="A169">
        <v>1363</v>
      </c>
      <c r="B169">
        <f t="shared" si="4"/>
        <v>0.96</v>
      </c>
      <c r="C169">
        <f t="shared" si="5"/>
        <v>0.73447689257749993</v>
      </c>
    </row>
    <row r="170" spans="1:3">
      <c r="A170">
        <v>1364</v>
      </c>
      <c r="B170">
        <f t="shared" si="4"/>
        <v>0.96571428571428575</v>
      </c>
      <c r="C170">
        <f t="shared" si="5"/>
        <v>0.73473509257777425</v>
      </c>
    </row>
    <row r="171" spans="1:3">
      <c r="A171">
        <v>1368</v>
      </c>
      <c r="B171">
        <f t="shared" si="4"/>
        <v>0.97142857142857142</v>
      </c>
      <c r="C171">
        <f t="shared" si="5"/>
        <v>0.73576538423058757</v>
      </c>
    </row>
    <row r="172" spans="1:3">
      <c r="A172">
        <v>1373</v>
      </c>
      <c r="B172">
        <f t="shared" si="4"/>
        <v>0.97714285714285709</v>
      </c>
      <c r="C172">
        <f t="shared" si="5"/>
        <v>0.73704762328006512</v>
      </c>
    </row>
    <row r="173" spans="1:3">
      <c r="A173">
        <v>1373</v>
      </c>
      <c r="B173">
        <f t="shared" si="4"/>
        <v>0.98285714285714287</v>
      </c>
      <c r="C173">
        <f t="shared" si="5"/>
        <v>0.73704762328006512</v>
      </c>
    </row>
    <row r="174" spans="1:3">
      <c r="A174">
        <v>1376</v>
      </c>
      <c r="B174">
        <f t="shared" si="4"/>
        <v>0.98857142857142855</v>
      </c>
      <c r="C174">
        <f t="shared" si="5"/>
        <v>0.73781397808830729</v>
      </c>
    </row>
    <row r="175" spans="1:3">
      <c r="A175">
        <v>1377</v>
      </c>
      <c r="B175">
        <f t="shared" si="4"/>
        <v>0.99428571428571433</v>
      </c>
      <c r="C175">
        <f t="shared" si="5"/>
        <v>0.73806893303963605</v>
      </c>
    </row>
    <row r="176" spans="1:3">
      <c r="A176" s="134">
        <f>AVERAGE(A2:A175)</f>
        <v>1027.8620689655172</v>
      </c>
    </row>
    <row r="177" spans="1:1" ht="30.75">
      <c r="A177" s="200" t="s">
        <v>144</v>
      </c>
    </row>
    <row r="178" spans="1:1">
      <c r="A178">
        <f>1/A176</f>
        <v>9.7289318303811056E-4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1AE0-F6ED-43B0-BEB8-D9227A69E058}">
  <sheetPr>
    <pageSetUpPr fitToPage="1"/>
  </sheetPr>
  <dimension ref="A1:AG313"/>
  <sheetViews>
    <sheetView tabSelected="1" topLeftCell="G169" workbookViewId="0">
      <selection activeCell="M182" sqref="M182"/>
    </sheetView>
  </sheetViews>
  <sheetFormatPr defaultRowHeight="15"/>
  <cols>
    <col min="1" max="1" width="12.5703125" customWidth="1"/>
    <col min="2" max="2" width="17.5703125" customWidth="1"/>
    <col min="3" max="3" width="16" customWidth="1"/>
    <col min="4" max="4" width="17.28515625" customWidth="1"/>
    <col min="5" max="5" width="8.5703125" customWidth="1"/>
    <col min="6" max="6" width="12.28515625" customWidth="1"/>
    <col min="7" max="8" width="11.140625" customWidth="1"/>
    <col min="9" max="9" width="11.5703125" customWidth="1"/>
    <col min="10" max="10" width="13.42578125" customWidth="1"/>
    <col min="12" max="12" width="19.28515625" customWidth="1"/>
    <col min="13" max="13" width="18" customWidth="1"/>
    <col min="14" max="14" width="15.28515625" customWidth="1"/>
    <col min="21" max="21" width="10.42578125" customWidth="1"/>
  </cols>
  <sheetData>
    <row r="1" spans="1:22" ht="15" customHeight="1">
      <c r="A1" s="12" t="s">
        <v>2</v>
      </c>
      <c r="B1" s="12" t="s">
        <v>3</v>
      </c>
      <c r="C1" s="12" t="s">
        <v>4</v>
      </c>
      <c r="D1" s="12" t="s">
        <v>5</v>
      </c>
      <c r="E1" s="12" t="s">
        <v>6</v>
      </c>
      <c r="F1" s="13" t="s">
        <v>7</v>
      </c>
      <c r="G1" s="12" t="s">
        <v>8</v>
      </c>
      <c r="H1" s="12" t="s">
        <v>9</v>
      </c>
      <c r="I1" s="14" t="s">
        <v>10</v>
      </c>
      <c r="J1" s="12" t="s">
        <v>11</v>
      </c>
      <c r="L1" s="219" t="s">
        <v>145</v>
      </c>
      <c r="M1" s="220"/>
      <c r="N1" s="223"/>
      <c r="O1" s="211" t="s">
        <v>146</v>
      </c>
      <c r="P1" s="211"/>
      <c r="Q1" s="211"/>
      <c r="R1" s="211"/>
      <c r="S1" s="211"/>
      <c r="T1" s="211"/>
      <c r="U1" s="223"/>
      <c r="V1" s="225"/>
    </row>
    <row r="2" spans="1:22" ht="15" customHeight="1">
      <c r="A2" s="25">
        <v>0.4597222222222222</v>
      </c>
      <c r="B2" s="25">
        <v>0.4597222222222222</v>
      </c>
      <c r="C2" s="25">
        <v>0.46041666666666664</v>
      </c>
      <c r="D2" s="26" t="s">
        <v>14</v>
      </c>
      <c r="E2" s="26" t="s">
        <v>15</v>
      </c>
      <c r="F2" s="25">
        <f>C2-B2</f>
        <v>6.9444444444444198E-4</v>
      </c>
      <c r="G2" s="27">
        <f>HOUR(A2)*60+MINUTE(A2)</f>
        <v>662</v>
      </c>
      <c r="H2" s="25">
        <f>C2-B2</f>
        <v>6.9444444444444198E-4</v>
      </c>
      <c r="I2" s="27">
        <f>HOUR(H2)*60+MINUTE(H2)</f>
        <v>1</v>
      </c>
      <c r="J2" s="26"/>
      <c r="L2" s="221"/>
      <c r="M2" s="222"/>
      <c r="N2" s="224"/>
      <c r="O2" s="212"/>
      <c r="P2" s="212"/>
      <c r="Q2" s="212"/>
      <c r="R2" s="212"/>
      <c r="S2" s="212"/>
      <c r="T2" s="212"/>
      <c r="U2" s="224"/>
      <c r="V2" s="226"/>
    </row>
    <row r="3" spans="1:22">
      <c r="A3" s="25">
        <v>0.46944444444444444</v>
      </c>
      <c r="B3" s="25">
        <v>0.46944444444444444</v>
      </c>
      <c r="C3" s="25">
        <v>0.47222222222222221</v>
      </c>
      <c r="D3" s="26" t="s">
        <v>14</v>
      </c>
      <c r="E3" s="26" t="s">
        <v>15</v>
      </c>
      <c r="F3" s="25">
        <f t="shared" ref="F3:F66" si="0">C3-B3</f>
        <v>2.7777777777777679E-3</v>
      </c>
      <c r="G3" s="27">
        <f>HOUR(A3)*60+MINUTE(A3)</f>
        <v>676</v>
      </c>
      <c r="H3" s="25">
        <f t="shared" ref="H3:H66" si="1">C3-B3</f>
        <v>2.7777777777777679E-3</v>
      </c>
      <c r="I3" s="27">
        <f>HOUR(H3)*60+MINUTE(H3)</f>
        <v>4</v>
      </c>
      <c r="J3" s="27">
        <f>G3-G2</f>
        <v>14</v>
      </c>
    </row>
    <row r="4" spans="1:22">
      <c r="A4" s="25">
        <v>0.47361111111111109</v>
      </c>
      <c r="B4" s="25">
        <v>0.47361111111111109</v>
      </c>
      <c r="C4" s="25">
        <v>0.47499999999999998</v>
      </c>
      <c r="D4" s="26" t="s">
        <v>14</v>
      </c>
      <c r="E4" s="26" t="s">
        <v>15</v>
      </c>
      <c r="F4" s="25">
        <f>C4-B4</f>
        <v>1.388888888888884E-3</v>
      </c>
      <c r="G4" s="27">
        <f t="shared" ref="G3:G66" si="2">HOUR(A4)*60+MINUTE(A4)</f>
        <v>682</v>
      </c>
      <c r="H4" s="25">
        <f t="shared" si="1"/>
        <v>1.388888888888884E-3</v>
      </c>
      <c r="I4" s="27">
        <f>HOUR(H4)*60+MINUTE(H4)</f>
        <v>2</v>
      </c>
      <c r="J4" s="27">
        <f t="shared" ref="J4:J67" si="3">G4-G3</f>
        <v>6</v>
      </c>
      <c r="L4" s="138" t="s">
        <v>16</v>
      </c>
      <c r="M4" s="139" t="s">
        <v>147</v>
      </c>
      <c r="N4" s="138" t="s">
        <v>20</v>
      </c>
      <c r="O4" s="138" t="s">
        <v>21</v>
      </c>
      <c r="P4" s="138" t="s">
        <v>22</v>
      </c>
      <c r="Q4" s="138" t="s">
        <v>23</v>
      </c>
      <c r="R4" s="138" t="s">
        <v>24</v>
      </c>
      <c r="S4" s="138" t="s">
        <v>25</v>
      </c>
      <c r="T4" s="138" t="s">
        <v>26</v>
      </c>
      <c r="U4" s="138" t="s">
        <v>27</v>
      </c>
      <c r="V4" s="138" t="s">
        <v>28</v>
      </c>
    </row>
    <row r="5" spans="1:22">
      <c r="A5" s="25">
        <v>0.47638888888888886</v>
      </c>
      <c r="B5" s="25">
        <v>0.47638888888888886</v>
      </c>
      <c r="C5" s="25">
        <v>0.48402777777777778</v>
      </c>
      <c r="D5" s="26" t="s">
        <v>14</v>
      </c>
      <c r="E5" s="26" t="s">
        <v>15</v>
      </c>
      <c r="F5" s="25">
        <f t="shared" si="0"/>
        <v>7.6388888888889173E-3</v>
      </c>
      <c r="G5" s="27">
        <f t="shared" si="2"/>
        <v>686</v>
      </c>
      <c r="H5" s="25">
        <f t="shared" si="1"/>
        <v>7.6388888888889173E-3</v>
      </c>
      <c r="I5" s="27">
        <f>HOUR(H5)*60+MINUTE(H5)</f>
        <v>11</v>
      </c>
      <c r="J5" s="27">
        <f t="shared" si="3"/>
        <v>4</v>
      </c>
      <c r="L5" s="55" t="s">
        <v>29</v>
      </c>
      <c r="M5" s="57" cm="1">
        <f t="array" ref="M5:M15">FREQUENCY(J2:J175,O5:O14)</f>
        <v>78</v>
      </c>
      <c r="N5" s="55">
        <v>0</v>
      </c>
      <c r="O5" s="55">
        <v>2</v>
      </c>
      <c r="P5" s="55">
        <f>_xlfn.EXPON.DIST(N5,0.242130751,TRUE)</f>
        <v>0</v>
      </c>
      <c r="Q5" s="55">
        <f>_xlfn.EXPON.DIST(O5,0.242130751,TRUE)</f>
        <v>0.38384794415170953</v>
      </c>
      <c r="R5" s="55">
        <f>Q5-P5</f>
        <v>0.38384794415170953</v>
      </c>
      <c r="S5" s="55">
        <f>R5*173</f>
        <v>66.405694338245752</v>
      </c>
      <c r="T5" s="57">
        <f>M5-S5</f>
        <v>11.594305661754248</v>
      </c>
      <c r="U5" s="57">
        <f>T5^2</f>
        <v>134.42792377818662</v>
      </c>
      <c r="V5" s="55">
        <f>U5/S5</f>
        <v>2.0243433205209946</v>
      </c>
    </row>
    <row r="6" spans="1:22">
      <c r="A6" s="25">
        <v>0.47638888888888886</v>
      </c>
      <c r="B6" s="25">
        <v>0.48402777777777778</v>
      </c>
      <c r="C6" s="25">
        <v>0.48402777777777778</v>
      </c>
      <c r="D6" s="26" t="s">
        <v>14</v>
      </c>
      <c r="E6" s="26" t="s">
        <v>15</v>
      </c>
      <c r="F6" s="25">
        <f t="shared" si="0"/>
        <v>0</v>
      </c>
      <c r="G6" s="27">
        <f t="shared" si="2"/>
        <v>686</v>
      </c>
      <c r="H6" s="25">
        <f t="shared" si="1"/>
        <v>0</v>
      </c>
      <c r="I6" s="27">
        <f>HOUR(H6)*60+MINUTE(H6)</f>
        <v>0</v>
      </c>
      <c r="J6" s="27">
        <f t="shared" si="3"/>
        <v>0</v>
      </c>
      <c r="L6" s="58" t="s">
        <v>30</v>
      </c>
      <c r="M6" s="57">
        <v>36</v>
      </c>
      <c r="N6" s="55">
        <v>2</v>
      </c>
      <c r="O6" s="55">
        <v>4</v>
      </c>
      <c r="P6" s="55">
        <f t="shared" ref="P6:Q14" si="4">_xlfn.EXPON.DIST(N6,0.242130751,TRUE)</f>
        <v>0.38384794415170953</v>
      </c>
      <c r="Q6" s="55">
        <f t="shared" si="4"/>
        <v>0.6203566440739251</v>
      </c>
      <c r="R6" s="55">
        <f t="shared" ref="R6:R14" si="5">Q6-P6</f>
        <v>0.23650869992221557</v>
      </c>
      <c r="S6" s="55">
        <f t="shared" ref="S6:S14" si="6">R6*173</f>
        <v>40.916005086543294</v>
      </c>
      <c r="T6" s="57">
        <f>M6-S6</f>
        <v>-4.9160050865432936</v>
      </c>
      <c r="U6" s="57">
        <f t="shared" ref="U6:U14" si="7">T6^2</f>
        <v>24.167106010919536</v>
      </c>
      <c r="V6" s="55">
        <f t="shared" ref="V6:V14" si="8">U6/S6</f>
        <v>0.59065165232535766</v>
      </c>
    </row>
    <row r="7" spans="1:22">
      <c r="A7" s="25">
        <v>0.48402777777777778</v>
      </c>
      <c r="B7" s="25">
        <v>0.48402777777777778</v>
      </c>
      <c r="C7" s="25">
        <v>0.48541666666666666</v>
      </c>
      <c r="D7" s="26" t="s">
        <v>14</v>
      </c>
      <c r="E7" s="26" t="s">
        <v>15</v>
      </c>
      <c r="F7" s="25">
        <f t="shared" si="0"/>
        <v>1.388888888888884E-3</v>
      </c>
      <c r="G7" s="27">
        <f t="shared" si="2"/>
        <v>697</v>
      </c>
      <c r="H7" s="25">
        <f t="shared" si="1"/>
        <v>1.388888888888884E-3</v>
      </c>
      <c r="I7" s="27">
        <f>HOUR(H7)*60+MINUTE(H7)</f>
        <v>2</v>
      </c>
      <c r="J7" s="27">
        <f t="shared" si="3"/>
        <v>11</v>
      </c>
      <c r="L7" s="55" t="s">
        <v>31</v>
      </c>
      <c r="M7" s="57">
        <v>18</v>
      </c>
      <c r="N7" s="55">
        <v>4</v>
      </c>
      <c r="O7" s="55">
        <v>6</v>
      </c>
      <c r="P7" s="55">
        <f t="shared" si="4"/>
        <v>0.6203566440739251</v>
      </c>
      <c r="Q7" s="55">
        <f t="shared" si="4"/>
        <v>0.76608196575700471</v>
      </c>
      <c r="R7" s="55">
        <f t="shared" si="5"/>
        <v>0.14572532168307961</v>
      </c>
      <c r="S7" s="55">
        <f t="shared" si="6"/>
        <v>25.210480651172773</v>
      </c>
      <c r="T7" s="57">
        <f>M7-S7</f>
        <v>-7.210480651172773</v>
      </c>
      <c r="U7" s="57">
        <f t="shared" si="7"/>
        <v>51.991031220936939</v>
      </c>
      <c r="V7" s="55">
        <f t="shared" si="8"/>
        <v>2.0622784603084652</v>
      </c>
    </row>
    <row r="8" spans="1:22">
      <c r="A8" s="25">
        <v>0.48402777777777778</v>
      </c>
      <c r="B8" s="25">
        <v>0.48541666666666666</v>
      </c>
      <c r="C8" s="25">
        <v>0.48541666666666666</v>
      </c>
      <c r="D8" s="26" t="s">
        <v>14</v>
      </c>
      <c r="E8" s="26" t="s">
        <v>15</v>
      </c>
      <c r="F8" s="25">
        <f t="shared" si="0"/>
        <v>0</v>
      </c>
      <c r="G8" s="27">
        <f t="shared" si="2"/>
        <v>697</v>
      </c>
      <c r="H8" s="25">
        <f t="shared" si="1"/>
        <v>0</v>
      </c>
      <c r="I8" s="27">
        <f>HOUR(H8)*60+MINUTE(H8)</f>
        <v>0</v>
      </c>
      <c r="J8" s="27">
        <f t="shared" si="3"/>
        <v>0</v>
      </c>
      <c r="L8" s="55" t="s">
        <v>32</v>
      </c>
      <c r="M8" s="57">
        <v>15</v>
      </c>
      <c r="N8" s="55">
        <v>6</v>
      </c>
      <c r="O8" s="55">
        <v>8</v>
      </c>
      <c r="P8" s="55">
        <f>_xlfn.EXPON.DIST(N8,0.242130751,TRUE)</f>
        <v>0.76608196575700471</v>
      </c>
      <c r="Q8" s="55">
        <f t="shared" si="4"/>
        <v>0.85587092230118766</v>
      </c>
      <c r="R8" s="55">
        <f t="shared" si="5"/>
        <v>8.9788956544182952E-2</v>
      </c>
      <c r="S8" s="55">
        <f t="shared" si="6"/>
        <v>15.533489482143651</v>
      </c>
      <c r="T8" s="57">
        <f>M8-S8</f>
        <v>-0.53348948214365066</v>
      </c>
      <c r="U8" s="57">
        <f t="shared" si="7"/>
        <v>0.28461102755790058</v>
      </c>
      <c r="V8" s="55">
        <f t="shared" si="8"/>
        <v>1.8322414154596237E-2</v>
      </c>
    </row>
    <row r="9" spans="1:22">
      <c r="A9" s="25">
        <v>0.48541666666666666</v>
      </c>
      <c r="B9" s="25">
        <v>0.48541666666666666</v>
      </c>
      <c r="C9" s="25">
        <v>0.49305555555555558</v>
      </c>
      <c r="D9" s="26" t="s">
        <v>14</v>
      </c>
      <c r="E9" s="26" t="s">
        <v>15</v>
      </c>
      <c r="F9" s="25">
        <f t="shared" si="0"/>
        <v>7.6388888888889173E-3</v>
      </c>
      <c r="G9" s="27">
        <f t="shared" si="2"/>
        <v>699</v>
      </c>
      <c r="H9" s="25">
        <f t="shared" si="1"/>
        <v>7.6388888888889173E-3</v>
      </c>
      <c r="I9" s="27">
        <f>HOUR(H9)*60+MINUTE(H9)</f>
        <v>11</v>
      </c>
      <c r="J9" s="27">
        <f t="shared" si="3"/>
        <v>2</v>
      </c>
      <c r="L9" s="58" t="s">
        <v>33</v>
      </c>
      <c r="M9" s="57">
        <v>12</v>
      </c>
      <c r="N9" s="55">
        <v>8</v>
      </c>
      <c r="O9" s="55">
        <v>10</v>
      </c>
      <c r="P9" s="55">
        <f t="shared" si="4"/>
        <v>0.85587092230118766</v>
      </c>
      <c r="Q9" s="55">
        <f t="shared" si="4"/>
        <v>0.91119457246835878</v>
      </c>
      <c r="R9" s="55">
        <f t="shared" si="5"/>
        <v>5.5323650167171112E-2</v>
      </c>
      <c r="S9" s="55">
        <f t="shared" si="6"/>
        <v>9.5709914789206021</v>
      </c>
      <c r="T9" s="57">
        <f>M9-S9</f>
        <v>2.4290085210793979</v>
      </c>
      <c r="U9" s="57">
        <f t="shared" si="7"/>
        <v>5.900082395476324</v>
      </c>
      <c r="V9" s="55">
        <f t="shared" si="8"/>
        <v>0.61645467018446498</v>
      </c>
    </row>
    <row r="10" spans="1:22">
      <c r="A10" s="25">
        <v>0.48680555555555555</v>
      </c>
      <c r="B10" s="25">
        <v>0.49305555555555558</v>
      </c>
      <c r="C10" s="25">
        <v>0.49861111111111112</v>
      </c>
      <c r="D10" s="26" t="s">
        <v>14</v>
      </c>
      <c r="E10" s="26" t="s">
        <v>15</v>
      </c>
      <c r="F10" s="25">
        <f t="shared" si="0"/>
        <v>5.5555555555555358E-3</v>
      </c>
      <c r="G10" s="27">
        <f t="shared" si="2"/>
        <v>701</v>
      </c>
      <c r="H10" s="25">
        <f t="shared" si="1"/>
        <v>5.5555555555555358E-3</v>
      </c>
      <c r="I10" s="27">
        <f>HOUR(H10)*60+MINUTE(H10)</f>
        <v>8</v>
      </c>
      <c r="J10" s="27">
        <f t="shared" si="3"/>
        <v>2</v>
      </c>
      <c r="L10" s="55" t="s">
        <v>34</v>
      </c>
      <c r="M10" s="57">
        <v>7</v>
      </c>
      <c r="N10" s="55">
        <v>10</v>
      </c>
      <c r="O10" s="55">
        <v>12</v>
      </c>
      <c r="P10" s="55">
        <f t="shared" si="4"/>
        <v>0.91119457246835878</v>
      </c>
      <c r="Q10" s="55">
        <f t="shared" si="4"/>
        <v>0.94528235325589283</v>
      </c>
      <c r="R10" s="55">
        <f t="shared" si="5"/>
        <v>3.408778078753405E-2</v>
      </c>
      <c r="S10" s="55">
        <f t="shared" si="6"/>
        <v>5.8971860762433908</v>
      </c>
      <c r="T10" s="57">
        <f>M10-S10</f>
        <v>1.1028139237566092</v>
      </c>
      <c r="U10" s="57">
        <f t="shared" si="7"/>
        <v>1.2161985504314483</v>
      </c>
      <c r="V10" s="55">
        <f t="shared" si="8"/>
        <v>0.20623370785786493</v>
      </c>
    </row>
    <row r="11" spans="1:22">
      <c r="A11" s="25">
        <v>0.49305555555555558</v>
      </c>
      <c r="B11" s="25">
        <v>0.49861111111111112</v>
      </c>
      <c r="C11" s="25">
        <v>0.49930555555555556</v>
      </c>
      <c r="D11" s="26" t="s">
        <v>14</v>
      </c>
      <c r="E11" s="26" t="s">
        <v>15</v>
      </c>
      <c r="F11" s="25">
        <f t="shared" si="0"/>
        <v>6.9444444444444198E-4</v>
      </c>
      <c r="G11" s="27">
        <f t="shared" si="2"/>
        <v>710</v>
      </c>
      <c r="H11" s="25">
        <f t="shared" si="1"/>
        <v>6.9444444444444198E-4</v>
      </c>
      <c r="I11" s="27">
        <f>HOUR(H11)*60+MINUTE(H11)</f>
        <v>1</v>
      </c>
      <c r="J11" s="27">
        <f t="shared" si="3"/>
        <v>9</v>
      </c>
      <c r="L11" s="55" t="s">
        <v>35</v>
      </c>
      <c r="M11" s="57">
        <v>2</v>
      </c>
      <c r="N11" s="55">
        <v>12</v>
      </c>
      <c r="O11" s="55">
        <v>14</v>
      </c>
      <c r="P11" s="55">
        <f t="shared" si="4"/>
        <v>0.94528235325589283</v>
      </c>
      <c r="Q11" s="55">
        <f t="shared" si="4"/>
        <v>0.96628560946743791</v>
      </c>
      <c r="R11" s="55">
        <f t="shared" si="5"/>
        <v>2.1003256211545085E-2</v>
      </c>
      <c r="S11" s="55">
        <f t="shared" si="6"/>
        <v>3.6335633245972998</v>
      </c>
      <c r="T11" s="57">
        <f>M11-S11</f>
        <v>-1.6335633245972998</v>
      </c>
      <c r="U11" s="57">
        <f t="shared" si="7"/>
        <v>2.6685291354693832</v>
      </c>
      <c r="V11" s="55">
        <f t="shared" si="8"/>
        <v>0.7344110717446023</v>
      </c>
    </row>
    <row r="12" spans="1:22">
      <c r="A12" s="25">
        <v>0.49861111111111112</v>
      </c>
      <c r="B12" s="25">
        <v>0.49930555555555556</v>
      </c>
      <c r="C12" s="25">
        <v>0.50277777777777777</v>
      </c>
      <c r="D12" s="26" t="s">
        <v>14</v>
      </c>
      <c r="E12" s="26" t="s">
        <v>15</v>
      </c>
      <c r="F12" s="25">
        <f t="shared" si="0"/>
        <v>3.4722222222222099E-3</v>
      </c>
      <c r="G12" s="27">
        <f t="shared" si="2"/>
        <v>718</v>
      </c>
      <c r="H12" s="25">
        <f t="shared" si="1"/>
        <v>3.4722222222222099E-3</v>
      </c>
      <c r="I12" s="27">
        <f>HOUR(H12)*60+MINUTE(H12)</f>
        <v>5</v>
      </c>
      <c r="J12" s="27">
        <f t="shared" si="3"/>
        <v>8</v>
      </c>
      <c r="L12" s="55" t="s">
        <v>71</v>
      </c>
      <c r="M12" s="57">
        <v>3</v>
      </c>
      <c r="N12" s="55">
        <v>14</v>
      </c>
      <c r="O12" s="55">
        <v>16</v>
      </c>
      <c r="P12" s="55">
        <f>_xlfn.EXPON.DIST(N12,0.242130751,TRUE)</f>
        <v>0.96628560946743791</v>
      </c>
      <c r="Q12" s="55">
        <f t="shared" si="4"/>
        <v>0.97922680896168968</v>
      </c>
      <c r="R12" s="55">
        <f t="shared" si="5"/>
        <v>1.2941199494251765E-2</v>
      </c>
      <c r="S12" s="55">
        <f t="shared" si="6"/>
        <v>2.2388275125055555</v>
      </c>
      <c r="T12" s="57">
        <f>M12-S12</f>
        <v>0.76117248749444455</v>
      </c>
      <c r="U12" s="57">
        <f t="shared" si="7"/>
        <v>0.57938355571848033</v>
      </c>
      <c r="V12" s="55">
        <f t="shared" si="8"/>
        <v>0.2587888314227792</v>
      </c>
    </row>
    <row r="13" spans="1:22">
      <c r="A13" s="25">
        <v>0.50138888888888888</v>
      </c>
      <c r="B13" s="25">
        <v>0.50277777777777777</v>
      </c>
      <c r="C13" s="25">
        <v>0.50763888888888886</v>
      </c>
      <c r="D13" s="26" t="s">
        <v>14</v>
      </c>
      <c r="E13" s="26" t="s">
        <v>15</v>
      </c>
      <c r="F13" s="25">
        <f t="shared" si="0"/>
        <v>4.8611111111110938E-3</v>
      </c>
      <c r="G13" s="27">
        <f t="shared" si="2"/>
        <v>722</v>
      </c>
      <c r="H13" s="25">
        <f t="shared" si="1"/>
        <v>4.8611111111110938E-3</v>
      </c>
      <c r="I13" s="27">
        <f>HOUR(H13)*60+MINUTE(H13)</f>
        <v>7</v>
      </c>
      <c r="J13" s="27">
        <f t="shared" si="3"/>
        <v>4</v>
      </c>
      <c r="L13" s="140" t="s">
        <v>72</v>
      </c>
      <c r="M13" s="55">
        <v>0</v>
      </c>
      <c r="N13" s="55">
        <v>16</v>
      </c>
      <c r="O13" s="55">
        <v>18</v>
      </c>
      <c r="P13" s="55">
        <f>_xlfn.EXPON.DIST(N13,0.242130751,TRUE)</f>
        <v>0.97922680896168968</v>
      </c>
      <c r="Q13" s="55">
        <f>_xlfn.EXPON.DIST(O13,0.242130751,TRUE)</f>
        <v>0.9872005556352158</v>
      </c>
      <c r="R13" s="55">
        <f>Q13-P13</f>
        <v>7.9737466735261275E-3</v>
      </c>
      <c r="S13" s="55">
        <f t="shared" si="6"/>
        <v>1.3794581745200201</v>
      </c>
      <c r="T13" s="57">
        <f>M13-S13</f>
        <v>-1.3794581745200201</v>
      </c>
      <c r="U13" s="57">
        <f t="shared" si="7"/>
        <v>1.9029048552501062</v>
      </c>
      <c r="V13" s="55">
        <f t="shared" si="8"/>
        <v>1.3794581745200201</v>
      </c>
    </row>
    <row r="14" spans="1:22">
      <c r="A14" s="25">
        <v>0.50694444444444442</v>
      </c>
      <c r="B14" s="25">
        <v>0.50763888888888886</v>
      </c>
      <c r="C14" s="25">
        <v>0.50972222222222219</v>
      </c>
      <c r="D14" s="26" t="s">
        <v>14</v>
      </c>
      <c r="E14" s="26" t="s">
        <v>15</v>
      </c>
      <c r="F14" s="25">
        <f t="shared" si="0"/>
        <v>2.0833333333333259E-3</v>
      </c>
      <c r="G14" s="27">
        <f t="shared" si="2"/>
        <v>730</v>
      </c>
      <c r="H14" s="25">
        <f t="shared" si="1"/>
        <v>2.0833333333333259E-3</v>
      </c>
      <c r="I14" s="27">
        <f>HOUR(H14)*60+MINUTE(H14)</f>
        <v>3</v>
      </c>
      <c r="J14" s="27">
        <f t="shared" si="3"/>
        <v>8</v>
      </c>
      <c r="L14" s="55" t="s">
        <v>73</v>
      </c>
      <c r="M14" s="55">
        <v>2</v>
      </c>
      <c r="N14" s="55">
        <v>18</v>
      </c>
      <c r="O14" s="55">
        <v>20</v>
      </c>
      <c r="P14" s="55">
        <f t="shared" si="4"/>
        <v>0.9872005556352158</v>
      </c>
      <c r="Q14" s="55">
        <f t="shared" si="4"/>
        <v>0.99211359604092242</v>
      </c>
      <c r="R14" s="55">
        <f t="shared" si="5"/>
        <v>4.9130404057066146E-3</v>
      </c>
      <c r="S14" s="55">
        <f t="shared" si="6"/>
        <v>0.84995599018724433</v>
      </c>
      <c r="T14" s="57">
        <f>M14-S14</f>
        <v>1.1500440098127558</v>
      </c>
      <c r="U14" s="57">
        <f t="shared" si="7"/>
        <v>1.322601224506202</v>
      </c>
      <c r="V14" s="55">
        <f t="shared" si="8"/>
        <v>1.5560820086871021</v>
      </c>
    </row>
    <row r="15" spans="1:22">
      <c r="A15" s="25">
        <v>0.50763888888888886</v>
      </c>
      <c r="B15" s="25">
        <v>0.50972222222222219</v>
      </c>
      <c r="C15" s="25">
        <v>0.51180555555555551</v>
      </c>
      <c r="D15" s="26" t="s">
        <v>14</v>
      </c>
      <c r="E15" s="26" t="s">
        <v>15</v>
      </c>
      <c r="F15" s="25">
        <f t="shared" si="0"/>
        <v>2.0833333333333259E-3</v>
      </c>
      <c r="G15" s="27">
        <f t="shared" si="2"/>
        <v>731</v>
      </c>
      <c r="H15" s="25">
        <f t="shared" si="1"/>
        <v>2.0833333333333259E-3</v>
      </c>
      <c r="I15" s="27">
        <f>HOUR(H15)*60+MINUTE(H15)</f>
        <v>3</v>
      </c>
      <c r="J15" s="27">
        <f t="shared" si="3"/>
        <v>1</v>
      </c>
      <c r="L15" s="28"/>
      <c r="M15" s="28">
        <v>0</v>
      </c>
      <c r="N15" s="28"/>
      <c r="O15" s="28"/>
      <c r="P15" s="28"/>
      <c r="Q15" s="28"/>
      <c r="R15" s="28"/>
      <c r="S15" s="28"/>
      <c r="T15" s="28"/>
    </row>
    <row r="16" spans="1:22">
      <c r="A16" s="25">
        <v>0.50972222222222219</v>
      </c>
      <c r="B16" s="25">
        <v>0.51180555555555551</v>
      </c>
      <c r="C16" s="25">
        <v>0.51249999999999996</v>
      </c>
      <c r="D16" s="26" t="s">
        <v>14</v>
      </c>
      <c r="E16" s="26" t="s">
        <v>15</v>
      </c>
      <c r="F16" s="25">
        <f t="shared" si="0"/>
        <v>6.9444444444444198E-4</v>
      </c>
      <c r="G16" s="27">
        <f t="shared" si="2"/>
        <v>734</v>
      </c>
      <c r="H16" s="25">
        <f t="shared" si="1"/>
        <v>6.9444444444444198E-4</v>
      </c>
      <c r="I16" s="27">
        <f>HOUR(H16)*60+MINUTE(H16)</f>
        <v>1</v>
      </c>
      <c r="J16" s="27">
        <f t="shared" si="3"/>
        <v>3</v>
      </c>
      <c r="L16" s="28"/>
      <c r="M16" s="29"/>
      <c r="N16" s="28"/>
      <c r="O16" s="28"/>
      <c r="P16" s="28"/>
      <c r="Q16" s="28"/>
      <c r="R16" s="28"/>
      <c r="S16" s="28"/>
      <c r="T16" s="28"/>
      <c r="U16" s="28"/>
      <c r="V16" s="28"/>
    </row>
    <row r="17" spans="1:27">
      <c r="A17" s="25">
        <v>0.51180555555555551</v>
      </c>
      <c r="B17" s="25">
        <v>0.51249999999999996</v>
      </c>
      <c r="C17" s="25">
        <v>0.51249999999999996</v>
      </c>
      <c r="D17" s="26" t="s">
        <v>14</v>
      </c>
      <c r="E17" s="26" t="s">
        <v>15</v>
      </c>
      <c r="F17" s="25">
        <f t="shared" si="0"/>
        <v>0</v>
      </c>
      <c r="G17" s="27">
        <f t="shared" si="2"/>
        <v>737</v>
      </c>
      <c r="H17" s="25">
        <f t="shared" si="1"/>
        <v>0</v>
      </c>
      <c r="I17" s="27">
        <f>HOUR(H17)*60+MINUTE(H17)</f>
        <v>0</v>
      </c>
      <c r="J17" s="27">
        <f t="shared" si="3"/>
        <v>3</v>
      </c>
      <c r="L17" s="143" t="s">
        <v>36</v>
      </c>
      <c r="M17" s="144"/>
      <c r="N17" s="144"/>
      <c r="O17" s="144"/>
      <c r="P17" s="144"/>
      <c r="Q17" s="144"/>
      <c r="R17" s="144"/>
      <c r="S17" s="144"/>
      <c r="T17" s="144"/>
      <c r="U17" s="144" t="s">
        <v>148</v>
      </c>
      <c r="V17" s="144">
        <f>SUM(V5:V14)</f>
        <v>9.4470243117262473</v>
      </c>
    </row>
    <row r="18" spans="1:27">
      <c r="A18" s="25">
        <v>0.51249999999999996</v>
      </c>
      <c r="B18" s="25">
        <v>0.51249999999999996</v>
      </c>
      <c r="C18" s="25">
        <v>0.51875000000000004</v>
      </c>
      <c r="D18" s="26" t="s">
        <v>14</v>
      </c>
      <c r="E18" s="26" t="s">
        <v>15</v>
      </c>
      <c r="F18" s="25">
        <f t="shared" si="0"/>
        <v>6.2500000000000888E-3</v>
      </c>
      <c r="G18" s="27">
        <f t="shared" si="2"/>
        <v>738</v>
      </c>
      <c r="H18" s="25">
        <f t="shared" si="1"/>
        <v>6.2500000000000888E-3</v>
      </c>
      <c r="I18" s="27">
        <f>HOUR(H18)*60+MINUTE(H18)</f>
        <v>9</v>
      </c>
      <c r="J18" s="27">
        <f t="shared" si="3"/>
        <v>1</v>
      </c>
      <c r="P18" s="141"/>
      <c r="Q18" s="141"/>
      <c r="R18" s="141"/>
      <c r="S18" s="141"/>
      <c r="T18" s="141"/>
      <c r="U18" s="141"/>
    </row>
    <row r="19" spans="1:27">
      <c r="A19" s="25">
        <v>0.51249999999999996</v>
      </c>
      <c r="B19" s="25">
        <v>0.51875000000000004</v>
      </c>
      <c r="C19" s="25">
        <v>0.52569444444444446</v>
      </c>
      <c r="D19" s="26" t="s">
        <v>14</v>
      </c>
      <c r="E19" s="26" t="s">
        <v>15</v>
      </c>
      <c r="F19" s="25">
        <f t="shared" si="0"/>
        <v>6.9444444444444198E-3</v>
      </c>
      <c r="G19" s="27">
        <f t="shared" si="2"/>
        <v>738</v>
      </c>
      <c r="H19" s="25">
        <f t="shared" si="1"/>
        <v>6.9444444444444198E-3</v>
      </c>
      <c r="I19" s="27">
        <f>HOUR(H19)*60+MINUTE(H19)</f>
        <v>10</v>
      </c>
      <c r="J19" s="27">
        <f t="shared" si="3"/>
        <v>0</v>
      </c>
      <c r="L19" s="150" t="s">
        <v>149</v>
      </c>
      <c r="M19" s="151">
        <f>AVERAGE(J3:J175)</f>
        <v>4.1329479768786124</v>
      </c>
      <c r="O19" s="213" t="s">
        <v>150</v>
      </c>
      <c r="P19" s="214"/>
      <c r="Q19" s="214"/>
      <c r="R19" s="214"/>
      <c r="S19" s="214"/>
      <c r="T19" s="214"/>
      <c r="U19" s="214"/>
      <c r="V19" s="215"/>
      <c r="W19" s="28"/>
      <c r="X19" s="28"/>
    </row>
    <row r="20" spans="1:27">
      <c r="A20" s="25">
        <v>0.51875000000000004</v>
      </c>
      <c r="B20" s="25">
        <v>0.52569444444444446</v>
      </c>
      <c r="C20" s="25">
        <v>0.52847222222222223</v>
      </c>
      <c r="D20" s="26" t="s">
        <v>14</v>
      </c>
      <c r="E20" s="26" t="s">
        <v>15</v>
      </c>
      <c r="F20" s="25">
        <f t="shared" si="0"/>
        <v>2.7777777777777679E-3</v>
      </c>
      <c r="G20" s="27">
        <f t="shared" si="2"/>
        <v>747</v>
      </c>
      <c r="H20" s="25">
        <f t="shared" si="1"/>
        <v>2.7777777777777679E-3</v>
      </c>
      <c r="I20" s="27">
        <f>HOUR(H20)*60+MINUTE(H20)</f>
        <v>4</v>
      </c>
      <c r="J20" s="27">
        <f t="shared" si="3"/>
        <v>9</v>
      </c>
      <c r="L20" s="152" t="s">
        <v>151</v>
      </c>
      <c r="M20" s="153">
        <f>MAX(J3:J175)</f>
        <v>20</v>
      </c>
      <c r="P20" s="28"/>
      <c r="Q20" s="28"/>
      <c r="R20" s="28"/>
      <c r="S20" s="28"/>
      <c r="T20" s="28"/>
      <c r="U20" s="28"/>
      <c r="V20" s="28"/>
      <c r="W20" s="28"/>
      <c r="X20" s="28"/>
    </row>
    <row r="21" spans="1:27">
      <c r="A21" s="25">
        <v>0.52569444444444446</v>
      </c>
      <c r="B21" s="25">
        <v>0.52847222222222223</v>
      </c>
      <c r="C21" s="25">
        <v>0.52916666666666667</v>
      </c>
      <c r="D21" s="26" t="s">
        <v>14</v>
      </c>
      <c r="E21" s="26" t="s">
        <v>15</v>
      </c>
      <c r="F21" s="25">
        <f t="shared" si="0"/>
        <v>6.9444444444444198E-4</v>
      </c>
      <c r="G21" s="27">
        <f t="shared" si="2"/>
        <v>757</v>
      </c>
      <c r="H21" s="25">
        <f t="shared" si="1"/>
        <v>6.9444444444444198E-4</v>
      </c>
      <c r="I21" s="27">
        <f>HOUR(H21)*60+MINUTE(H21)</f>
        <v>1</v>
      </c>
      <c r="J21" s="27">
        <f t="shared" si="3"/>
        <v>10</v>
      </c>
      <c r="L21" s="152" t="s">
        <v>152</v>
      </c>
      <c r="M21" s="153">
        <v>4.13</v>
      </c>
      <c r="O21" s="216" t="s">
        <v>153</v>
      </c>
      <c r="P21" s="217"/>
      <c r="Q21" s="217"/>
      <c r="R21" s="217"/>
      <c r="S21" s="217"/>
      <c r="T21" s="217"/>
      <c r="U21" s="217"/>
      <c r="V21" s="218"/>
      <c r="W21" s="28"/>
      <c r="X21" s="28"/>
    </row>
    <row r="22" spans="1:27">
      <c r="A22" s="25">
        <v>0.52847222222222223</v>
      </c>
      <c r="B22" s="25">
        <v>0.52916666666666667</v>
      </c>
      <c r="C22" s="25">
        <v>0.53055555555555556</v>
      </c>
      <c r="D22" s="26" t="s">
        <v>14</v>
      </c>
      <c r="E22" s="26" t="s">
        <v>15</v>
      </c>
      <c r="F22" s="25">
        <f t="shared" si="0"/>
        <v>1.388888888888884E-3</v>
      </c>
      <c r="G22" s="27">
        <f t="shared" si="2"/>
        <v>761</v>
      </c>
      <c r="H22" s="25">
        <f t="shared" si="1"/>
        <v>1.388888888888884E-3</v>
      </c>
      <c r="I22" s="27">
        <f>HOUR(H22)*60+MINUTE(H22)</f>
        <v>2</v>
      </c>
      <c r="J22" s="27">
        <f t="shared" si="3"/>
        <v>4</v>
      </c>
      <c r="L22" s="152" t="s">
        <v>154</v>
      </c>
      <c r="M22" s="154">
        <f>1/M21</f>
        <v>0.24213075060532688</v>
      </c>
    </row>
    <row r="23" spans="1:27">
      <c r="A23" s="25">
        <v>0.52916666666666667</v>
      </c>
      <c r="B23" s="25">
        <v>0.53055555555555556</v>
      </c>
      <c r="C23" s="25">
        <v>0.53402777777777777</v>
      </c>
      <c r="D23" s="26" t="s">
        <v>14</v>
      </c>
      <c r="E23" s="26" t="s">
        <v>15</v>
      </c>
      <c r="F23" s="25">
        <f t="shared" si="0"/>
        <v>3.4722222222222099E-3</v>
      </c>
      <c r="G23" s="27">
        <f t="shared" si="2"/>
        <v>762</v>
      </c>
      <c r="H23" s="25">
        <f t="shared" si="1"/>
        <v>3.4722222222222099E-3</v>
      </c>
      <c r="I23" s="27">
        <f>HOUR(H23)*60+MINUTE(H23)</f>
        <v>5</v>
      </c>
      <c r="J23" s="27">
        <f t="shared" si="3"/>
        <v>1</v>
      </c>
      <c r="L23" s="152" t="s">
        <v>82</v>
      </c>
      <c r="M23" s="154">
        <f>10-1-1</f>
        <v>8</v>
      </c>
    </row>
    <row r="24" spans="1:27">
      <c r="A24" s="25">
        <v>0.53055555555555556</v>
      </c>
      <c r="B24" s="25">
        <v>0.53402777777777777</v>
      </c>
      <c r="C24" s="25">
        <v>0.54027777777777775</v>
      </c>
      <c r="D24" s="26" t="s">
        <v>14</v>
      </c>
      <c r="E24" s="26" t="s">
        <v>15</v>
      </c>
      <c r="F24" s="25">
        <f t="shared" si="0"/>
        <v>6.2499999999999778E-3</v>
      </c>
      <c r="G24" s="27">
        <f t="shared" si="2"/>
        <v>764</v>
      </c>
      <c r="H24" s="25">
        <f t="shared" si="1"/>
        <v>6.2499999999999778E-3</v>
      </c>
      <c r="I24" s="27">
        <f>HOUR(H24)*60+MINUTE(H24)</f>
        <v>9</v>
      </c>
      <c r="J24" s="27">
        <f t="shared" si="3"/>
        <v>2</v>
      </c>
      <c r="L24" s="155" t="s">
        <v>41</v>
      </c>
      <c r="M24" s="156">
        <v>15.507</v>
      </c>
    </row>
    <row r="25" spans="1:27">
      <c r="A25" s="25">
        <v>0.53402777777777777</v>
      </c>
      <c r="B25" s="25">
        <v>0.54027777777777775</v>
      </c>
      <c r="C25" s="25">
        <v>0.54652777777777772</v>
      </c>
      <c r="D25" s="26" t="s">
        <v>14</v>
      </c>
      <c r="E25" s="26" t="s">
        <v>15</v>
      </c>
      <c r="F25" s="25">
        <f t="shared" si="0"/>
        <v>6.2499999999999778E-3</v>
      </c>
      <c r="G25" s="27">
        <f t="shared" si="2"/>
        <v>769</v>
      </c>
      <c r="H25" s="25">
        <f t="shared" si="1"/>
        <v>6.2499999999999778E-3</v>
      </c>
      <c r="I25" s="27">
        <f>HOUR(H25)*60+MINUTE(H25)</f>
        <v>9</v>
      </c>
      <c r="J25" s="27">
        <f t="shared" si="3"/>
        <v>5</v>
      </c>
    </row>
    <row r="26" spans="1:27" ht="15" customHeight="1">
      <c r="A26" s="25">
        <v>0.54027777777777775</v>
      </c>
      <c r="B26" s="25">
        <v>0.54652777777777772</v>
      </c>
      <c r="C26" s="25">
        <v>0.55069444444444449</v>
      </c>
      <c r="D26" s="26" t="s">
        <v>14</v>
      </c>
      <c r="E26" s="26" t="s">
        <v>15</v>
      </c>
      <c r="F26" s="25">
        <f t="shared" si="0"/>
        <v>4.1666666666667629E-3</v>
      </c>
      <c r="G26" s="27">
        <f t="shared" si="2"/>
        <v>778</v>
      </c>
      <c r="H26" s="25">
        <f t="shared" si="1"/>
        <v>4.1666666666667629E-3</v>
      </c>
      <c r="I26" s="27">
        <f>HOUR(H26)*60+MINUTE(H26)</f>
        <v>6</v>
      </c>
      <c r="J26" s="27">
        <f t="shared" si="3"/>
        <v>9</v>
      </c>
    </row>
    <row r="27" spans="1:27" ht="15" customHeight="1">
      <c r="A27" s="25">
        <v>0.54652777777777772</v>
      </c>
      <c r="B27" s="25">
        <v>0.55069444444444449</v>
      </c>
      <c r="C27" s="25">
        <v>0.55347222222222225</v>
      </c>
      <c r="D27" s="26" t="s">
        <v>14</v>
      </c>
      <c r="E27" s="26" t="s">
        <v>15</v>
      </c>
      <c r="F27" s="25">
        <f t="shared" si="0"/>
        <v>2.7777777777777679E-3</v>
      </c>
      <c r="G27" s="27">
        <f t="shared" si="2"/>
        <v>787</v>
      </c>
      <c r="H27" s="25">
        <f t="shared" si="1"/>
        <v>2.7777777777777679E-3</v>
      </c>
      <c r="I27" s="27">
        <f>HOUR(H27)*60+MINUTE(H27)</f>
        <v>4</v>
      </c>
      <c r="J27" s="27">
        <f t="shared" si="3"/>
        <v>9</v>
      </c>
      <c r="L27" s="207" t="s">
        <v>155</v>
      </c>
      <c r="M27" s="208"/>
      <c r="N27" s="208"/>
      <c r="O27" s="208"/>
      <c r="P27" s="211" t="s">
        <v>156</v>
      </c>
      <c r="Q27" s="211"/>
      <c r="R27" s="211"/>
      <c r="S27" s="211"/>
      <c r="T27" s="211"/>
      <c r="U27" s="211"/>
      <c r="V27" s="223"/>
      <c r="W27" s="162"/>
      <c r="X27" s="162"/>
      <c r="Y27" s="162"/>
      <c r="Z27" s="162"/>
      <c r="AA27" s="163"/>
    </row>
    <row r="28" spans="1:27" ht="15" customHeight="1">
      <c r="A28" s="25">
        <v>0.55069444444444449</v>
      </c>
      <c r="B28" s="25">
        <v>0.55347222222222225</v>
      </c>
      <c r="C28" s="25">
        <v>0.5541666666666667</v>
      </c>
      <c r="D28" s="26" t="s">
        <v>14</v>
      </c>
      <c r="E28" s="26" t="s">
        <v>15</v>
      </c>
      <c r="F28" s="25">
        <f t="shared" si="0"/>
        <v>6.9444444444444198E-4</v>
      </c>
      <c r="G28" s="27">
        <f t="shared" si="2"/>
        <v>793</v>
      </c>
      <c r="H28" s="25">
        <f t="shared" si="1"/>
        <v>6.9444444444444198E-4</v>
      </c>
      <c r="I28" s="27">
        <f>HOUR(H28)*60+MINUTE(H28)</f>
        <v>1</v>
      </c>
      <c r="J28" s="27">
        <f t="shared" si="3"/>
        <v>6</v>
      </c>
      <c r="L28" s="209"/>
      <c r="M28" s="210"/>
      <c r="N28" s="210"/>
      <c r="O28" s="210"/>
      <c r="P28" s="212"/>
      <c r="Q28" s="212"/>
      <c r="R28" s="212"/>
      <c r="S28" s="212"/>
      <c r="T28" s="212"/>
      <c r="U28" s="212"/>
      <c r="V28" s="224"/>
      <c r="W28" s="164"/>
      <c r="X28" s="164"/>
      <c r="Y28" s="165"/>
      <c r="Z28" s="165"/>
      <c r="AA28" s="166"/>
    </row>
    <row r="29" spans="1:27">
      <c r="A29" s="25">
        <v>0.55347222222222225</v>
      </c>
      <c r="B29" s="25">
        <v>0.5541666666666667</v>
      </c>
      <c r="C29" s="25">
        <v>0.5541666666666667</v>
      </c>
      <c r="D29" s="26" t="s">
        <v>14</v>
      </c>
      <c r="E29" s="26" t="s">
        <v>15</v>
      </c>
      <c r="F29" s="25">
        <f t="shared" si="0"/>
        <v>0</v>
      </c>
      <c r="G29" s="27">
        <f t="shared" si="2"/>
        <v>797</v>
      </c>
      <c r="H29" s="25">
        <f t="shared" si="1"/>
        <v>0</v>
      </c>
      <c r="I29" s="27">
        <f>HOUR(H29)*60+MINUTE(H29)</f>
        <v>0</v>
      </c>
      <c r="J29" s="27">
        <f t="shared" si="3"/>
        <v>4</v>
      </c>
      <c r="L29" s="15"/>
      <c r="M29" s="15"/>
      <c r="N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7">
      <c r="A30" s="25">
        <v>0.5541666666666667</v>
      </c>
      <c r="B30" s="25">
        <v>0.5541666666666667</v>
      </c>
      <c r="C30" s="25">
        <v>0.56041666666666667</v>
      </c>
      <c r="D30" s="26" t="s">
        <v>14</v>
      </c>
      <c r="E30" s="26" t="s">
        <v>15</v>
      </c>
      <c r="F30" s="25">
        <f t="shared" si="0"/>
        <v>6.2499999999999778E-3</v>
      </c>
      <c r="G30" s="27">
        <f t="shared" si="2"/>
        <v>798</v>
      </c>
      <c r="H30" s="25">
        <f t="shared" si="1"/>
        <v>6.2499999999999778E-3</v>
      </c>
      <c r="I30" s="27">
        <f>HOUR(H30)*60+MINUTE(H30)</f>
        <v>9</v>
      </c>
      <c r="J30" s="27">
        <f t="shared" si="3"/>
        <v>1</v>
      </c>
      <c r="L30" s="12" t="s">
        <v>16</v>
      </c>
      <c r="M30" s="14" t="s">
        <v>18</v>
      </c>
      <c r="N30" s="12" t="s">
        <v>20</v>
      </c>
      <c r="O30" s="12" t="s">
        <v>21</v>
      </c>
      <c r="P30" s="12" t="s">
        <v>22</v>
      </c>
      <c r="Q30" s="12" t="s">
        <v>23</v>
      </c>
      <c r="R30" s="12" t="s">
        <v>24</v>
      </c>
      <c r="S30" s="12" t="s">
        <v>25</v>
      </c>
      <c r="T30" s="12" t="s">
        <v>26</v>
      </c>
      <c r="U30" s="12" t="s">
        <v>27</v>
      </c>
      <c r="V30" s="12" t="s">
        <v>28</v>
      </c>
    </row>
    <row r="31" spans="1:27">
      <c r="A31" s="25">
        <v>0.5541666666666667</v>
      </c>
      <c r="B31" s="25">
        <v>0.56041666666666667</v>
      </c>
      <c r="C31" s="25">
        <v>0.56319444444444444</v>
      </c>
      <c r="D31" s="26" t="s">
        <v>14</v>
      </c>
      <c r="E31" s="26" t="s">
        <v>15</v>
      </c>
      <c r="F31" s="25">
        <f t="shared" si="0"/>
        <v>2.7777777777777679E-3</v>
      </c>
      <c r="G31" s="27">
        <f t="shared" si="2"/>
        <v>798</v>
      </c>
      <c r="H31" s="25">
        <f t="shared" si="1"/>
        <v>2.7777777777777679E-3</v>
      </c>
      <c r="I31" s="27">
        <f>HOUR(H31)*60+MINUTE(H31)</f>
        <v>4</v>
      </c>
      <c r="J31" s="27">
        <f t="shared" si="3"/>
        <v>0</v>
      </c>
      <c r="L31" s="55" t="s">
        <v>29</v>
      </c>
      <c r="M31" s="57" cm="1">
        <f t="array" ref="M31:M37">FREQUENCY(I2:I45,O31:O36)</f>
        <v>19</v>
      </c>
      <c r="N31" s="55">
        <v>0</v>
      </c>
      <c r="O31" s="55">
        <v>2</v>
      </c>
      <c r="P31" s="55">
        <f>_xlfn.EXPON.DIST(N31,0.261904762,TRUE)</f>
        <v>0</v>
      </c>
      <c r="Q31" s="55">
        <f>_xlfn.EXPON.DIST(O31,0.261904762,TRUE)</f>
        <v>0.40773998381691856</v>
      </c>
      <c r="R31" s="55">
        <f>Q31-P31</f>
        <v>0.40773998381691856</v>
      </c>
      <c r="S31" s="55">
        <f>R31*44</f>
        <v>17.940559287944417</v>
      </c>
      <c r="T31" s="57">
        <f>M31-S31</f>
        <v>1.0594407120555829</v>
      </c>
      <c r="U31" s="57">
        <f>T31^2</f>
        <v>1.1224146223608404</v>
      </c>
      <c r="V31" s="55">
        <f>U31/S31</f>
        <v>6.2562967204432329E-2</v>
      </c>
    </row>
    <row r="32" spans="1:27">
      <c r="A32" s="25">
        <v>0.56041666666666667</v>
      </c>
      <c r="B32" s="25">
        <v>0.56319444444444444</v>
      </c>
      <c r="C32" s="25">
        <v>0.56319444444444444</v>
      </c>
      <c r="D32" s="26" t="s">
        <v>14</v>
      </c>
      <c r="E32" s="26" t="s">
        <v>15</v>
      </c>
      <c r="F32" s="25">
        <f t="shared" si="0"/>
        <v>0</v>
      </c>
      <c r="G32" s="27">
        <f t="shared" si="2"/>
        <v>807</v>
      </c>
      <c r="H32" s="25">
        <f t="shared" si="1"/>
        <v>0</v>
      </c>
      <c r="I32" s="27">
        <f>HOUR(H32)*60+MINUTE(H32)</f>
        <v>0</v>
      </c>
      <c r="J32" s="27">
        <f t="shared" si="3"/>
        <v>9</v>
      </c>
      <c r="L32" s="58" t="s">
        <v>30</v>
      </c>
      <c r="M32" s="57">
        <v>10</v>
      </c>
      <c r="N32" s="55">
        <v>2</v>
      </c>
      <c r="O32" s="55">
        <v>4</v>
      </c>
      <c r="P32" s="55">
        <f t="shared" ref="P32:Q36" si="9">_xlfn.EXPON.DIST(N32,0.261904762,TRUE)</f>
        <v>0.40773998381691856</v>
      </c>
      <c r="Q32" s="55">
        <f t="shared" si="9"/>
        <v>0.64922807323081599</v>
      </c>
      <c r="R32" s="55">
        <f t="shared" ref="R32:R36" si="10">Q32-P32</f>
        <v>0.24148808941389743</v>
      </c>
      <c r="S32" s="55">
        <f>R32*44</f>
        <v>10.625475934211487</v>
      </c>
      <c r="T32" s="57">
        <f>M32-S32</f>
        <v>-0.62547593421148662</v>
      </c>
      <c r="U32" s="57">
        <f t="shared" ref="U32:U36" si="11">T32^2</f>
        <v>0.39122014427773194</v>
      </c>
      <c r="V32" s="55">
        <f t="shared" ref="V32:V36" si="12">U32/S32</f>
        <v>3.6819070195067388E-2</v>
      </c>
    </row>
    <row r="33" spans="1:24">
      <c r="A33" s="25">
        <v>0.56319444444444444</v>
      </c>
      <c r="B33" s="25">
        <v>0.56319444444444444</v>
      </c>
      <c r="C33" s="25">
        <v>0.56388888888888888</v>
      </c>
      <c r="D33" s="26" t="s">
        <v>14</v>
      </c>
      <c r="E33" s="26" t="s">
        <v>15</v>
      </c>
      <c r="F33" s="25">
        <f t="shared" si="0"/>
        <v>6.9444444444444198E-4</v>
      </c>
      <c r="G33" s="27">
        <f t="shared" si="2"/>
        <v>811</v>
      </c>
      <c r="H33" s="25">
        <f t="shared" si="1"/>
        <v>6.9444444444444198E-4</v>
      </c>
      <c r="I33" s="27">
        <f>HOUR(H33)*60+MINUTE(H33)</f>
        <v>1</v>
      </c>
      <c r="J33" s="27">
        <f t="shared" si="3"/>
        <v>4</v>
      </c>
      <c r="L33" s="55" t="s">
        <v>31</v>
      </c>
      <c r="M33" s="57">
        <v>6</v>
      </c>
      <c r="N33" s="55">
        <v>4</v>
      </c>
      <c r="O33" s="55">
        <v>6</v>
      </c>
      <c r="P33" s="55">
        <f>_xlfn.EXPON.DIST(N33,0.261904762,TRUE)</f>
        <v>0.64922807323081599</v>
      </c>
      <c r="Q33" s="55">
        <f t="shared" si="9"/>
        <v>0.79225181297511238</v>
      </c>
      <c r="R33" s="55">
        <f t="shared" si="10"/>
        <v>0.14302373974429639</v>
      </c>
      <c r="S33" s="55">
        <f t="shared" ref="S33:S36" si="13">R33*44</f>
        <v>6.293044548749041</v>
      </c>
      <c r="T33" s="57">
        <f>M33-S33</f>
        <v>-0.29304454874904096</v>
      </c>
      <c r="U33" s="57">
        <f t="shared" si="11"/>
        <v>8.5875107551529037E-2</v>
      </c>
      <c r="V33" s="55">
        <f t="shared" si="12"/>
        <v>1.3646035219725192E-2</v>
      </c>
    </row>
    <row r="34" spans="1:24">
      <c r="A34" s="25">
        <v>0.56319444444444444</v>
      </c>
      <c r="B34" s="25">
        <v>0.56388888888888888</v>
      </c>
      <c r="C34" s="25">
        <v>0.56666666666666665</v>
      </c>
      <c r="D34" s="26" t="s">
        <v>14</v>
      </c>
      <c r="E34" s="26" t="s">
        <v>15</v>
      </c>
      <c r="F34" s="25">
        <f t="shared" si="0"/>
        <v>2.7777777777777679E-3</v>
      </c>
      <c r="G34" s="27">
        <f t="shared" si="2"/>
        <v>811</v>
      </c>
      <c r="H34" s="25">
        <f t="shared" si="1"/>
        <v>2.7777777777777679E-3</v>
      </c>
      <c r="I34" s="27">
        <f>HOUR(H34)*60+MINUTE(H34)</f>
        <v>4</v>
      </c>
      <c r="J34" s="27">
        <f t="shared" si="3"/>
        <v>0</v>
      </c>
      <c r="L34" s="55" t="s">
        <v>32</v>
      </c>
      <c r="M34" s="57">
        <v>2</v>
      </c>
      <c r="N34" s="55">
        <v>6</v>
      </c>
      <c r="O34" s="55">
        <v>8</v>
      </c>
      <c r="P34" s="55">
        <f t="shared" si="9"/>
        <v>0.79225181297511238</v>
      </c>
      <c r="Q34" s="55">
        <f t="shared" si="9"/>
        <v>0.87695905539063423</v>
      </c>
      <c r="R34" s="55">
        <f t="shared" si="10"/>
        <v>8.4707242415521855E-2</v>
      </c>
      <c r="S34" s="55">
        <f t="shared" si="13"/>
        <v>3.7271186662829616</v>
      </c>
      <c r="T34" s="57">
        <f>M34-S34</f>
        <v>-1.7271186662829616</v>
      </c>
      <c r="U34" s="57">
        <f t="shared" si="11"/>
        <v>2.9829388874230363</v>
      </c>
      <c r="V34" s="55">
        <f t="shared" si="12"/>
        <v>0.80033375765787129</v>
      </c>
    </row>
    <row r="35" spans="1:24">
      <c r="A35" s="25">
        <v>0.56388888888888888</v>
      </c>
      <c r="B35" s="25">
        <v>0.56666666666666665</v>
      </c>
      <c r="C35" s="25">
        <v>0.56666666666666665</v>
      </c>
      <c r="D35" s="26" t="s">
        <v>14</v>
      </c>
      <c r="E35" s="26" t="s">
        <v>15</v>
      </c>
      <c r="F35" s="25">
        <f t="shared" si="0"/>
        <v>0</v>
      </c>
      <c r="G35" s="27">
        <f t="shared" si="2"/>
        <v>812</v>
      </c>
      <c r="H35" s="25">
        <f t="shared" si="1"/>
        <v>0</v>
      </c>
      <c r="I35" s="27">
        <f>HOUR(H35)*60+MINUTE(H35)</f>
        <v>0</v>
      </c>
      <c r="J35" s="27">
        <f t="shared" si="3"/>
        <v>1</v>
      </c>
      <c r="L35" s="58" t="s">
        <v>33</v>
      </c>
      <c r="M35" s="57">
        <v>5</v>
      </c>
      <c r="N35" s="55">
        <v>8</v>
      </c>
      <c r="O35" s="55">
        <v>10</v>
      </c>
      <c r="P35" s="55">
        <f t="shared" si="9"/>
        <v>0.87695905539063423</v>
      </c>
      <c r="Q35" s="55">
        <f t="shared" si="9"/>
        <v>0.9271277681544754</v>
      </c>
      <c r="R35" s="55">
        <f>Q35-P35</f>
        <v>5.0168712763841161E-2</v>
      </c>
      <c r="S35" s="55">
        <f>R35*44</f>
        <v>2.2074233616090111</v>
      </c>
      <c r="T35" s="57">
        <f>M35-S35</f>
        <v>2.7925766383909889</v>
      </c>
      <c r="U35" s="57">
        <f t="shared" si="11"/>
        <v>7.7984842812871165</v>
      </c>
      <c r="V35" s="55">
        <f t="shared" si="12"/>
        <v>3.5328448619854824</v>
      </c>
    </row>
    <row r="36" spans="1:24">
      <c r="A36" s="25">
        <v>0.56666666666666665</v>
      </c>
      <c r="B36" s="25">
        <v>0.56666666666666665</v>
      </c>
      <c r="C36" s="25">
        <v>0.56736111111111109</v>
      </c>
      <c r="D36" s="26" t="s">
        <v>14</v>
      </c>
      <c r="E36" s="26" t="s">
        <v>15</v>
      </c>
      <c r="F36" s="25">
        <f t="shared" si="0"/>
        <v>6.9444444444444198E-4</v>
      </c>
      <c r="G36" s="27">
        <f t="shared" si="2"/>
        <v>816</v>
      </c>
      <c r="H36" s="25">
        <f t="shared" si="1"/>
        <v>6.9444444444444198E-4</v>
      </c>
      <c r="I36" s="27">
        <f>HOUR(H36)*60+MINUTE(H36)</f>
        <v>1</v>
      </c>
      <c r="J36" s="27">
        <f t="shared" si="3"/>
        <v>4</v>
      </c>
      <c r="L36" s="55" t="s">
        <v>34</v>
      </c>
      <c r="M36" s="57">
        <v>2</v>
      </c>
      <c r="N36" s="55">
        <v>10</v>
      </c>
      <c r="O36" s="55">
        <v>12</v>
      </c>
      <c r="P36" s="55">
        <f t="shared" si="9"/>
        <v>0.9271277681544754</v>
      </c>
      <c r="Q36" s="55">
        <f t="shared" si="9"/>
        <v>0.95684069078787237</v>
      </c>
      <c r="R36" s="55">
        <f t="shared" si="10"/>
        <v>2.9712922633396976E-2</v>
      </c>
      <c r="S36" s="55">
        <f t="shared" si="13"/>
        <v>1.307368595869467</v>
      </c>
      <c r="T36" s="57">
        <f>M36-S36</f>
        <v>0.69263140413053303</v>
      </c>
      <c r="U36" s="57">
        <f t="shared" si="11"/>
        <v>0.47973826198783376</v>
      </c>
      <c r="V36" s="55">
        <f t="shared" si="12"/>
        <v>0.36694950720365382</v>
      </c>
    </row>
    <row r="37" spans="1:24">
      <c r="A37" s="25">
        <v>0.56666666666666665</v>
      </c>
      <c r="B37" s="25">
        <v>0.56736111111111109</v>
      </c>
      <c r="C37" s="25">
        <v>0.56944444444444442</v>
      </c>
      <c r="D37" s="26" t="s">
        <v>14</v>
      </c>
      <c r="E37" s="26" t="s">
        <v>15</v>
      </c>
      <c r="F37" s="25">
        <f t="shared" si="0"/>
        <v>2.0833333333333259E-3</v>
      </c>
      <c r="G37" s="27">
        <f t="shared" si="2"/>
        <v>816</v>
      </c>
      <c r="H37" s="25">
        <f t="shared" si="1"/>
        <v>2.0833333333333259E-3</v>
      </c>
      <c r="I37" s="27">
        <f>HOUR(H37)*60+MINUTE(H37)</f>
        <v>3</v>
      </c>
      <c r="J37" s="27">
        <f t="shared" si="3"/>
        <v>0</v>
      </c>
      <c r="L37" s="55"/>
      <c r="M37" s="57">
        <v>0</v>
      </c>
      <c r="N37" s="55"/>
      <c r="O37" s="55"/>
      <c r="P37" s="55"/>
      <c r="Q37" s="55"/>
      <c r="R37" s="55"/>
      <c r="S37" s="55"/>
      <c r="T37" s="57"/>
      <c r="U37" s="57"/>
      <c r="V37" s="55"/>
    </row>
    <row r="38" spans="1:24">
      <c r="A38" s="25">
        <v>0.56736111111111109</v>
      </c>
      <c r="B38" s="25">
        <v>0.56944444444444442</v>
      </c>
      <c r="C38" s="25">
        <v>0.57291666666666663</v>
      </c>
      <c r="D38" s="26" t="s">
        <v>14</v>
      </c>
      <c r="E38" s="26" t="s">
        <v>15</v>
      </c>
      <c r="F38" s="25">
        <f t="shared" si="0"/>
        <v>3.4722222222222099E-3</v>
      </c>
      <c r="G38" s="27">
        <f t="shared" si="2"/>
        <v>817</v>
      </c>
      <c r="H38" s="25">
        <f t="shared" si="1"/>
        <v>3.4722222222222099E-3</v>
      </c>
      <c r="I38" s="27">
        <f>HOUR(H38)*60+MINUTE(H38)</f>
        <v>5</v>
      </c>
      <c r="J38" s="27">
        <f t="shared" si="3"/>
        <v>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4">
      <c r="A39" s="25">
        <v>0.56944444444444442</v>
      </c>
      <c r="B39" s="25">
        <v>0.57291666666666663</v>
      </c>
      <c r="C39" s="25">
        <v>0.5756944444444444</v>
      </c>
      <c r="D39" s="26" t="s">
        <v>14</v>
      </c>
      <c r="E39" s="26" t="s">
        <v>15</v>
      </c>
      <c r="F39" s="25">
        <f t="shared" si="0"/>
        <v>2.7777777777777679E-3</v>
      </c>
      <c r="G39" s="27">
        <f t="shared" si="2"/>
        <v>820</v>
      </c>
      <c r="H39" s="25">
        <f t="shared" si="1"/>
        <v>2.7777777777777679E-3</v>
      </c>
      <c r="I39" s="27">
        <f>HOUR(H39)*60+MINUTE(H39)</f>
        <v>4</v>
      </c>
      <c r="J39" s="27">
        <f t="shared" si="3"/>
        <v>3</v>
      </c>
      <c r="L39" s="159" t="s">
        <v>36</v>
      </c>
      <c r="M39" s="158">
        <f>SUM(M31:M36)</f>
        <v>44</v>
      </c>
      <c r="N39" s="157"/>
      <c r="O39" s="157"/>
      <c r="P39" s="157"/>
      <c r="Q39" s="157"/>
      <c r="R39" s="157"/>
      <c r="S39" s="157"/>
      <c r="T39" s="157"/>
      <c r="U39" s="157"/>
      <c r="V39" s="160">
        <f>SUM(V31:V36)</f>
        <v>4.8131561994662331</v>
      </c>
    </row>
    <row r="40" spans="1:24">
      <c r="A40" s="25">
        <v>0.57291666666666663</v>
      </c>
      <c r="B40" s="25">
        <v>0.5756944444444444</v>
      </c>
      <c r="C40" s="25">
        <v>0.57638888888888884</v>
      </c>
      <c r="D40" s="26" t="s">
        <v>14</v>
      </c>
      <c r="E40" s="26" t="s">
        <v>15</v>
      </c>
      <c r="F40" s="25">
        <f t="shared" si="0"/>
        <v>6.9444444444444198E-4</v>
      </c>
      <c r="G40" s="27">
        <f t="shared" si="2"/>
        <v>825</v>
      </c>
      <c r="H40" s="25">
        <f t="shared" si="1"/>
        <v>6.9444444444444198E-4</v>
      </c>
      <c r="I40" s="27">
        <f>HOUR(H40)*60+MINUTE(H40)</f>
        <v>1</v>
      </c>
      <c r="J40" s="27">
        <f t="shared" si="3"/>
        <v>5</v>
      </c>
      <c r="L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>
      <c r="A41" s="25">
        <v>0.5756944444444444</v>
      </c>
      <c r="B41" s="25">
        <v>0.57638888888888884</v>
      </c>
      <c r="C41" s="25">
        <v>0.57986111111111116</v>
      </c>
      <c r="D41" s="26" t="s">
        <v>14</v>
      </c>
      <c r="E41" s="26" t="s">
        <v>15</v>
      </c>
      <c r="F41" s="25">
        <f t="shared" si="0"/>
        <v>3.4722222222223209E-3</v>
      </c>
      <c r="G41" s="27">
        <f t="shared" si="2"/>
        <v>829</v>
      </c>
      <c r="H41" s="25">
        <f t="shared" si="1"/>
        <v>3.4722222222223209E-3</v>
      </c>
      <c r="I41" s="27">
        <f>HOUR(H41)*60+MINUTE(H41)</f>
        <v>5</v>
      </c>
      <c r="J41" s="27">
        <f t="shared" si="3"/>
        <v>4</v>
      </c>
      <c r="L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>
      <c r="A42" s="25">
        <v>0.57638888888888884</v>
      </c>
      <c r="B42" s="25">
        <v>0.57986111111111116</v>
      </c>
      <c r="C42" s="25">
        <v>0.5805555555555556</v>
      </c>
      <c r="D42" s="26" t="s">
        <v>14</v>
      </c>
      <c r="E42" s="26" t="s">
        <v>15</v>
      </c>
      <c r="F42" s="25">
        <f t="shared" si="0"/>
        <v>6.9444444444444198E-4</v>
      </c>
      <c r="G42" s="27">
        <f t="shared" si="2"/>
        <v>830</v>
      </c>
      <c r="H42" s="25">
        <f t="shared" si="1"/>
        <v>6.9444444444444198E-4</v>
      </c>
      <c r="I42" s="27">
        <f>HOUR(H42)*60+MINUTE(H42)</f>
        <v>1</v>
      </c>
      <c r="J42" s="27">
        <f t="shared" si="3"/>
        <v>1</v>
      </c>
      <c r="L42" s="150" t="s">
        <v>37</v>
      </c>
      <c r="M42" s="151">
        <f>AVERAGE(I2:I45)</f>
        <v>3.8181818181818183</v>
      </c>
      <c r="O42" s="216" t="s">
        <v>43</v>
      </c>
      <c r="P42" s="217"/>
      <c r="Q42" s="217"/>
      <c r="R42" s="217"/>
      <c r="S42" s="217"/>
      <c r="T42" s="217"/>
      <c r="U42" s="217"/>
      <c r="V42" s="218"/>
      <c r="W42" s="15"/>
      <c r="X42" s="15"/>
    </row>
    <row r="43" spans="1:24">
      <c r="A43" s="25">
        <v>0.57986111111111116</v>
      </c>
      <c r="B43" s="25">
        <v>0.5805555555555556</v>
      </c>
      <c r="C43" s="25">
        <v>0.58125000000000004</v>
      </c>
      <c r="D43" s="26" t="s">
        <v>14</v>
      </c>
      <c r="E43" s="26" t="s">
        <v>15</v>
      </c>
      <c r="F43" s="25">
        <f t="shared" si="0"/>
        <v>6.9444444444444198E-4</v>
      </c>
      <c r="G43" s="27">
        <f t="shared" si="2"/>
        <v>835</v>
      </c>
      <c r="H43" s="25">
        <f t="shared" si="1"/>
        <v>6.9444444444444198E-4</v>
      </c>
      <c r="I43" s="27">
        <f>HOUR(H43)*60+MINUTE(H43)</f>
        <v>1</v>
      </c>
      <c r="J43" s="27">
        <f t="shared" si="3"/>
        <v>5</v>
      </c>
      <c r="L43" s="152" t="s">
        <v>38</v>
      </c>
      <c r="M43" s="154">
        <f>1/M42</f>
        <v>0.26190476190476192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>
      <c r="A44" s="25">
        <v>0.5805555555555556</v>
      </c>
      <c r="B44" s="25">
        <v>0.58125000000000004</v>
      </c>
      <c r="C44" s="25">
        <v>0.5854166666666667</v>
      </c>
      <c r="D44" s="26" t="s">
        <v>14</v>
      </c>
      <c r="E44" s="26" t="s">
        <v>15</v>
      </c>
      <c r="F44" s="25">
        <f t="shared" si="0"/>
        <v>4.1666666666666519E-3</v>
      </c>
      <c r="G44" s="27">
        <f t="shared" si="2"/>
        <v>836</v>
      </c>
      <c r="H44" s="25">
        <f t="shared" si="1"/>
        <v>4.1666666666666519E-3</v>
      </c>
      <c r="I44" s="27">
        <f>HOUR(H44)*60+MINUTE(H44)</f>
        <v>6</v>
      </c>
      <c r="J44" s="27">
        <f t="shared" si="3"/>
        <v>1</v>
      </c>
      <c r="L44" s="152" t="s">
        <v>40</v>
      </c>
      <c r="M44" s="153">
        <v>4</v>
      </c>
      <c r="N44" s="15"/>
      <c r="Q44" s="15"/>
      <c r="R44" s="15"/>
      <c r="S44" s="15"/>
      <c r="T44" s="15"/>
      <c r="U44" s="15"/>
      <c r="V44" s="15"/>
      <c r="W44" s="15"/>
      <c r="X44" s="15"/>
    </row>
    <row r="45" spans="1:24">
      <c r="A45" s="25">
        <v>0.58125000000000004</v>
      </c>
      <c r="B45" s="25">
        <v>0.5854166666666667</v>
      </c>
      <c r="C45" s="25">
        <v>0.58819444444444446</v>
      </c>
      <c r="D45" s="26" t="s">
        <v>14</v>
      </c>
      <c r="E45" s="26" t="s">
        <v>15</v>
      </c>
      <c r="F45" s="25">
        <f t="shared" si="0"/>
        <v>2.7777777777777679E-3</v>
      </c>
      <c r="G45" s="27">
        <f t="shared" si="2"/>
        <v>837</v>
      </c>
      <c r="H45" s="25">
        <f t="shared" si="1"/>
        <v>2.7777777777777679E-3</v>
      </c>
      <c r="I45" s="27">
        <f>HOUR(H45)*60+MINUTE(H45)</f>
        <v>4</v>
      </c>
      <c r="J45" s="27">
        <f t="shared" si="3"/>
        <v>1</v>
      </c>
      <c r="L45" s="155" t="s">
        <v>44</v>
      </c>
      <c r="M45" s="156">
        <v>9.48</v>
      </c>
      <c r="N45" s="15"/>
      <c r="Q45" s="15">
        <v>0.26190476190476197</v>
      </c>
      <c r="R45" s="15"/>
      <c r="S45" s="15"/>
      <c r="T45" s="15"/>
      <c r="U45" s="15"/>
      <c r="V45" s="15"/>
      <c r="W45" s="15"/>
      <c r="X45" s="15"/>
    </row>
    <row r="46" spans="1:24">
      <c r="A46" s="19">
        <v>0.5854166666666667</v>
      </c>
      <c r="B46" s="19">
        <v>0.58819444444444446</v>
      </c>
      <c r="C46" s="19">
        <v>0.59375</v>
      </c>
      <c r="D46" s="20" t="s">
        <v>14</v>
      </c>
      <c r="E46" s="20" t="s">
        <v>15</v>
      </c>
      <c r="F46" s="19">
        <f t="shared" si="0"/>
        <v>5.5555555555555358E-3</v>
      </c>
      <c r="G46" s="21">
        <f t="shared" si="2"/>
        <v>843</v>
      </c>
      <c r="H46" s="19">
        <f t="shared" si="1"/>
        <v>5.5555555555555358E-3</v>
      </c>
      <c r="I46" s="175">
        <f>HOUR(H46)*60+MINUTE(H46)</f>
        <v>8</v>
      </c>
      <c r="J46" s="21">
        <f t="shared" si="3"/>
        <v>6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>
      <c r="A47" s="19">
        <v>0.58402777777777781</v>
      </c>
      <c r="B47" s="19">
        <v>0.58402777777777781</v>
      </c>
      <c r="C47" s="19">
        <v>0.58680555555555558</v>
      </c>
      <c r="D47" s="20" t="s">
        <v>46</v>
      </c>
      <c r="E47" s="20" t="s">
        <v>47</v>
      </c>
      <c r="F47" s="19">
        <f t="shared" si="0"/>
        <v>2.7777777777777679E-3</v>
      </c>
      <c r="G47" s="21">
        <f t="shared" si="2"/>
        <v>841</v>
      </c>
      <c r="H47" s="19">
        <f t="shared" si="1"/>
        <v>2.7777777777777679E-3</v>
      </c>
      <c r="I47" s="175">
        <f>HOUR(H47)*60+MINUTE(H47)</f>
        <v>4</v>
      </c>
      <c r="J47" s="21">
        <f>G47-G46</f>
        <v>-2</v>
      </c>
    </row>
    <row r="48" spans="1:24">
      <c r="A48" s="22">
        <v>0.5854166666666667</v>
      </c>
      <c r="B48" s="22">
        <v>0.5854166666666667</v>
      </c>
      <c r="C48" s="22">
        <v>0.58750000000000002</v>
      </c>
      <c r="D48" s="23" t="s">
        <v>48</v>
      </c>
      <c r="E48" s="23" t="s">
        <v>47</v>
      </c>
      <c r="F48" s="22">
        <f t="shared" si="0"/>
        <v>2.0833333333333259E-3</v>
      </c>
      <c r="G48" s="24">
        <f t="shared" si="2"/>
        <v>843</v>
      </c>
      <c r="H48" s="22">
        <f t="shared" si="1"/>
        <v>2.0833333333333259E-3</v>
      </c>
      <c r="I48" s="176">
        <f>HOUR(H48)*60+MINUTE(H48)</f>
        <v>3</v>
      </c>
      <c r="J48" s="24">
        <f t="shared" si="3"/>
        <v>2</v>
      </c>
      <c r="L48" s="207" t="s">
        <v>157</v>
      </c>
      <c r="M48" s="208"/>
      <c r="N48" s="208"/>
      <c r="O48" s="211" t="s">
        <v>158</v>
      </c>
      <c r="P48" s="211"/>
      <c r="Q48" s="211"/>
      <c r="R48" s="211"/>
      <c r="S48" s="211"/>
      <c r="T48" s="211"/>
      <c r="U48" s="171"/>
      <c r="V48" s="172"/>
    </row>
    <row r="49" spans="1:25">
      <c r="A49" s="19">
        <v>0.58750000000000002</v>
      </c>
      <c r="B49" s="19">
        <v>0.58750000000000002</v>
      </c>
      <c r="C49" s="19">
        <v>0.58750000000000002</v>
      </c>
      <c r="D49" s="20" t="s">
        <v>46</v>
      </c>
      <c r="E49" s="20" t="s">
        <v>47</v>
      </c>
      <c r="F49" s="19">
        <f t="shared" si="0"/>
        <v>0</v>
      </c>
      <c r="G49" s="21">
        <f t="shared" si="2"/>
        <v>846</v>
      </c>
      <c r="H49" s="19">
        <f t="shared" si="1"/>
        <v>0</v>
      </c>
      <c r="I49" s="175">
        <f>HOUR(H49)*60+MINUTE(H49)</f>
        <v>0</v>
      </c>
      <c r="J49" s="21">
        <f t="shared" si="3"/>
        <v>3</v>
      </c>
      <c r="L49" s="209"/>
      <c r="M49" s="210"/>
      <c r="N49" s="210"/>
      <c r="O49" s="212"/>
      <c r="P49" s="212"/>
      <c r="Q49" s="212"/>
      <c r="R49" s="212"/>
      <c r="S49" s="212"/>
      <c r="T49" s="212"/>
      <c r="U49" s="173"/>
      <c r="V49" s="174"/>
    </row>
    <row r="50" spans="1:25">
      <c r="A50" s="19">
        <v>0.58958333333333335</v>
      </c>
      <c r="B50" s="19">
        <v>0.58958333333333335</v>
      </c>
      <c r="C50" s="19">
        <v>0.59097222222222223</v>
      </c>
      <c r="D50" s="20" t="s">
        <v>46</v>
      </c>
      <c r="E50" s="20" t="s">
        <v>47</v>
      </c>
      <c r="F50" s="19">
        <f t="shared" si="0"/>
        <v>1.388888888888884E-3</v>
      </c>
      <c r="G50" s="21">
        <f t="shared" si="2"/>
        <v>849</v>
      </c>
      <c r="H50" s="19">
        <f t="shared" si="1"/>
        <v>1.388888888888884E-3</v>
      </c>
      <c r="I50" s="175">
        <f>HOUR(H50)*60+MINUTE(H50)</f>
        <v>2</v>
      </c>
      <c r="J50" s="21">
        <f t="shared" si="3"/>
        <v>3</v>
      </c>
      <c r="L50" s="28"/>
      <c r="M50" s="28"/>
      <c r="N50" s="145"/>
      <c r="O50" s="145"/>
      <c r="P50" s="28"/>
      <c r="Q50" s="28"/>
      <c r="R50" s="28"/>
      <c r="S50" s="28"/>
      <c r="T50" s="28"/>
      <c r="U50" s="28"/>
      <c r="V50" s="28"/>
      <c r="W50" s="28"/>
      <c r="X50" s="28"/>
      <c r="Y50" s="75"/>
    </row>
    <row r="51" spans="1:25">
      <c r="A51" s="22">
        <v>0.59027777777777779</v>
      </c>
      <c r="B51" s="22">
        <v>0.59027777777777779</v>
      </c>
      <c r="C51" s="22">
        <v>0.59166666666666667</v>
      </c>
      <c r="D51" s="23" t="s">
        <v>48</v>
      </c>
      <c r="E51" s="23" t="s">
        <v>47</v>
      </c>
      <c r="F51" s="22">
        <f t="shared" si="0"/>
        <v>1.388888888888884E-3</v>
      </c>
      <c r="G51" s="24">
        <f t="shared" si="2"/>
        <v>850</v>
      </c>
      <c r="H51" s="22">
        <f t="shared" si="1"/>
        <v>1.388888888888884E-3</v>
      </c>
      <c r="I51" s="176">
        <f>HOUR(H51)*60+MINUTE(H51)</f>
        <v>2</v>
      </c>
      <c r="J51" s="24">
        <f t="shared" si="3"/>
        <v>1</v>
      </c>
      <c r="L51" s="71" t="s">
        <v>16</v>
      </c>
      <c r="M51" s="73" t="s">
        <v>18</v>
      </c>
      <c r="N51" s="72" t="s">
        <v>20</v>
      </c>
      <c r="O51" s="72" t="s">
        <v>21</v>
      </c>
      <c r="P51" s="72" t="s">
        <v>22</v>
      </c>
      <c r="Q51" s="72" t="s">
        <v>23</v>
      </c>
      <c r="R51" s="72" t="s">
        <v>24</v>
      </c>
      <c r="S51" s="72" t="s">
        <v>25</v>
      </c>
      <c r="T51" s="72" t="s">
        <v>26</v>
      </c>
      <c r="U51" s="72" t="s">
        <v>27</v>
      </c>
      <c r="V51" s="74" t="s">
        <v>28</v>
      </c>
      <c r="Y51" s="75"/>
    </row>
    <row r="52" spans="1:25">
      <c r="A52" s="19">
        <v>0.60138888888888886</v>
      </c>
      <c r="B52" s="19">
        <v>0.60138888888888886</v>
      </c>
      <c r="C52" s="19">
        <v>0.6020833333333333</v>
      </c>
      <c r="D52" s="20" t="s">
        <v>46</v>
      </c>
      <c r="E52" s="20" t="s">
        <v>47</v>
      </c>
      <c r="F52" s="19">
        <f t="shared" si="0"/>
        <v>6.9444444444444198E-4</v>
      </c>
      <c r="G52" s="21">
        <f t="shared" si="2"/>
        <v>866</v>
      </c>
      <c r="H52" s="19">
        <f t="shared" si="1"/>
        <v>6.9444444444444198E-4</v>
      </c>
      <c r="I52" s="175">
        <f>HOUR(H52)*60+MINUTE(H52)</f>
        <v>1</v>
      </c>
      <c r="J52" s="21">
        <f>G52-G51</f>
        <v>16</v>
      </c>
      <c r="L52" s="55" t="s">
        <v>29</v>
      </c>
      <c r="M52" s="56" cm="1">
        <f t="array" ref="M52:M61">FREQUENCY(I179:I262,O52:O60)</f>
        <v>40</v>
      </c>
      <c r="N52" s="55">
        <v>0</v>
      </c>
      <c r="O52" s="55">
        <v>2</v>
      </c>
      <c r="P52" s="55">
        <f>_xlfn.EXPON.DIST(N52,0.260869565,TRUE)</f>
        <v>0</v>
      </c>
      <c r="Q52" s="55">
        <f>_xlfn.EXPON.DIST(O52,0.260869565,TRUE)</f>
        <v>0.40651250198593414</v>
      </c>
      <c r="R52" s="55">
        <f>Q52-P52</f>
        <v>0.40651250198593414</v>
      </c>
      <c r="S52" s="55">
        <f>R52*84</f>
        <v>34.147050166818467</v>
      </c>
      <c r="T52" s="57">
        <f>M52-S52</f>
        <v>5.8529498331815333</v>
      </c>
      <c r="U52" s="57">
        <f>T52^2</f>
        <v>34.257021749739735</v>
      </c>
      <c r="V52" s="55">
        <f>U52/S52</f>
        <v>1.003220529515259</v>
      </c>
      <c r="Y52" s="75"/>
    </row>
    <row r="53" spans="1:25">
      <c r="A53" s="19">
        <v>0.60624999999999996</v>
      </c>
      <c r="B53" s="19">
        <v>0.60624999999999996</v>
      </c>
      <c r="C53" s="19">
        <v>0.61597222222222225</v>
      </c>
      <c r="D53" s="20" t="s">
        <v>46</v>
      </c>
      <c r="E53" s="20" t="s">
        <v>47</v>
      </c>
      <c r="F53" s="19">
        <f t="shared" si="0"/>
        <v>9.7222222222222987E-3</v>
      </c>
      <c r="G53" s="21">
        <f t="shared" si="2"/>
        <v>873</v>
      </c>
      <c r="H53" s="19">
        <f t="shared" si="1"/>
        <v>9.7222222222222987E-3</v>
      </c>
      <c r="I53" s="175">
        <f>HOUR(H53)*60+MINUTE(H53)</f>
        <v>14</v>
      </c>
      <c r="J53" s="21">
        <f t="shared" si="3"/>
        <v>7</v>
      </c>
      <c r="L53" s="58" t="s">
        <v>30</v>
      </c>
      <c r="M53" s="57">
        <v>18</v>
      </c>
      <c r="N53" s="55">
        <v>2</v>
      </c>
      <c r="O53" s="55">
        <v>4</v>
      </c>
      <c r="P53" s="55">
        <f>_xlfn.EXPON.DIST(N53,0.260869565,TRUE)</f>
        <v>0.40651250198593414</v>
      </c>
      <c r="Q53" s="55">
        <f t="shared" ref="P53:Q60" si="14">_xlfn.EXPON.DIST(O53,0.260869565,TRUE)</f>
        <v>0.64777258970100404</v>
      </c>
      <c r="R53" s="55">
        <f t="shared" ref="R53:R60" si="15">Q53-P53</f>
        <v>0.2412600877150699</v>
      </c>
      <c r="S53" s="55">
        <f t="shared" ref="S53:S60" si="16">R53*84</f>
        <v>20.26584736806587</v>
      </c>
      <c r="T53" s="57">
        <f>M53-S53</f>
        <v>-2.2658473680658702</v>
      </c>
      <c r="U53" s="57">
        <f t="shared" ref="U53:U60" si="17">T53^2</f>
        <v>5.1340642953710312</v>
      </c>
      <c r="V53" s="55">
        <f t="shared" ref="V53:V60" si="18">U53/S53</f>
        <v>0.25333578222152647</v>
      </c>
      <c r="Y53" s="75"/>
    </row>
    <row r="54" spans="1:25">
      <c r="A54" s="22">
        <v>0.61458333333333337</v>
      </c>
      <c r="B54" s="22">
        <v>0.61458333333333337</v>
      </c>
      <c r="C54" s="22">
        <v>0.61597222222222225</v>
      </c>
      <c r="D54" s="23" t="s">
        <v>48</v>
      </c>
      <c r="E54" s="23" t="s">
        <v>47</v>
      </c>
      <c r="F54" s="22">
        <f t="shared" si="0"/>
        <v>1.388888888888884E-3</v>
      </c>
      <c r="G54" s="24">
        <f t="shared" si="2"/>
        <v>885</v>
      </c>
      <c r="H54" s="22">
        <f t="shared" si="1"/>
        <v>1.388888888888884E-3</v>
      </c>
      <c r="I54" s="176">
        <f>HOUR(H54)*60+MINUTE(H54)</f>
        <v>2</v>
      </c>
      <c r="J54" s="24">
        <f t="shared" si="3"/>
        <v>12</v>
      </c>
      <c r="L54" s="55" t="s">
        <v>31</v>
      </c>
      <c r="M54" s="57">
        <v>10</v>
      </c>
      <c r="N54" s="55">
        <v>4</v>
      </c>
      <c r="O54" s="55">
        <v>6</v>
      </c>
      <c r="P54" s="55">
        <f t="shared" si="14"/>
        <v>0.64777258970100404</v>
      </c>
      <c r="Q54" s="55">
        <f t="shared" si="14"/>
        <v>0.79095743552967512</v>
      </c>
      <c r="R54" s="55">
        <f t="shared" si="15"/>
        <v>0.14318484582867108</v>
      </c>
      <c r="S54" s="55">
        <f t="shared" si="16"/>
        <v>12.02752704960837</v>
      </c>
      <c r="T54" s="57">
        <f>M54-S54</f>
        <v>-2.0275270496083699</v>
      </c>
      <c r="U54" s="57">
        <f t="shared" si="17"/>
        <v>4.1108659368936218</v>
      </c>
      <c r="V54" s="55">
        <f t="shared" si="18"/>
        <v>0.34178812651495771</v>
      </c>
      <c r="Y54" s="75"/>
    </row>
    <row r="55" spans="1:25">
      <c r="A55" s="19">
        <v>0.62222222222222223</v>
      </c>
      <c r="B55" s="19">
        <v>0.62222222222222223</v>
      </c>
      <c r="C55" s="19">
        <v>0.62777777777777777</v>
      </c>
      <c r="D55" s="20" t="s">
        <v>46</v>
      </c>
      <c r="E55" s="20" t="s">
        <v>47</v>
      </c>
      <c r="F55" s="19">
        <f t="shared" si="0"/>
        <v>5.5555555555555358E-3</v>
      </c>
      <c r="G55" s="21">
        <f t="shared" si="2"/>
        <v>896</v>
      </c>
      <c r="H55" s="19">
        <f t="shared" si="1"/>
        <v>5.5555555555555358E-3</v>
      </c>
      <c r="I55" s="175">
        <f>HOUR(H55)*60+MINUTE(H55)</f>
        <v>8</v>
      </c>
      <c r="J55" s="21">
        <f t="shared" si="3"/>
        <v>11</v>
      </c>
      <c r="L55" s="55" t="s">
        <v>32</v>
      </c>
      <c r="M55" s="57">
        <v>7</v>
      </c>
      <c r="N55" s="55">
        <v>6</v>
      </c>
      <c r="O55" s="55">
        <v>8</v>
      </c>
      <c r="P55" s="55">
        <f t="shared" si="14"/>
        <v>0.79095743552967512</v>
      </c>
      <c r="Q55" s="55">
        <f t="shared" si="14"/>
        <v>0.87593585143406283</v>
      </c>
      <c r="R55" s="55">
        <f t="shared" si="15"/>
        <v>8.4978415904387705E-2</v>
      </c>
      <c r="S55" s="55">
        <f t="shared" si="16"/>
        <v>7.1381869359685677</v>
      </c>
      <c r="T55" s="57">
        <f>M55-S55</f>
        <v>-0.13818693596856768</v>
      </c>
      <c r="U55" s="57">
        <f t="shared" si="17"/>
        <v>1.9095629272381023E-2</v>
      </c>
      <c r="V55" s="55">
        <f t="shared" si="18"/>
        <v>2.6751371803055719E-3</v>
      </c>
      <c r="Y55" s="75"/>
    </row>
    <row r="56" spans="1:25">
      <c r="A56" s="22">
        <v>0.625</v>
      </c>
      <c r="B56" s="22">
        <v>0.625</v>
      </c>
      <c r="C56" s="22">
        <v>0.62777777777777777</v>
      </c>
      <c r="D56" s="23" t="s">
        <v>48</v>
      </c>
      <c r="E56" s="23" t="s">
        <v>47</v>
      </c>
      <c r="F56" s="22">
        <f t="shared" si="0"/>
        <v>2.7777777777777679E-3</v>
      </c>
      <c r="G56" s="24">
        <f t="shared" si="2"/>
        <v>900</v>
      </c>
      <c r="H56" s="22">
        <f t="shared" si="1"/>
        <v>2.7777777777777679E-3</v>
      </c>
      <c r="I56" s="176">
        <f>HOUR(H56)*60+MINUTE(H56)</f>
        <v>4</v>
      </c>
      <c r="J56" s="24">
        <f t="shared" si="3"/>
        <v>4</v>
      </c>
      <c r="L56" s="58" t="s">
        <v>33</v>
      </c>
      <c r="M56" s="57">
        <v>2</v>
      </c>
      <c r="N56" s="55">
        <v>8</v>
      </c>
      <c r="O56" s="55">
        <v>10</v>
      </c>
      <c r="P56" s="55">
        <f>_xlfn.EXPON.DIST(N56,0.260869565,TRUE)</f>
        <v>0.87593585143406283</v>
      </c>
      <c r="Q56" s="55">
        <f t="shared" si="14"/>
        <v>0.92636947887435661</v>
      </c>
      <c r="R56" s="55">
        <f t="shared" si="15"/>
        <v>5.0433627440293782E-2</v>
      </c>
      <c r="S56" s="55">
        <f t="shared" si="16"/>
        <v>4.2364247049846782</v>
      </c>
      <c r="T56" s="57">
        <f>M56-S56</f>
        <v>-2.2364247049846782</v>
      </c>
      <c r="U56" s="57">
        <f t="shared" si="17"/>
        <v>5.0015954610658051</v>
      </c>
      <c r="V56" s="55">
        <f t="shared" si="18"/>
        <v>1.1806171027141847</v>
      </c>
      <c r="Y56" s="75"/>
    </row>
    <row r="57" spans="1:25">
      <c r="A57" s="19">
        <v>0.63263888888888886</v>
      </c>
      <c r="B57" s="19">
        <v>0.63263888888888886</v>
      </c>
      <c r="C57" s="19">
        <v>0.63680555555555551</v>
      </c>
      <c r="D57" s="20" t="s">
        <v>46</v>
      </c>
      <c r="E57" s="20" t="s">
        <v>47</v>
      </c>
      <c r="F57" s="19">
        <f t="shared" si="0"/>
        <v>4.1666666666666519E-3</v>
      </c>
      <c r="G57" s="21">
        <f t="shared" si="2"/>
        <v>911</v>
      </c>
      <c r="H57" s="19">
        <f t="shared" si="1"/>
        <v>4.1666666666666519E-3</v>
      </c>
      <c r="I57" s="175">
        <f>HOUR(H57)*60+MINUTE(H57)</f>
        <v>6</v>
      </c>
      <c r="J57" s="21">
        <f t="shared" si="3"/>
        <v>11</v>
      </c>
      <c r="L57" s="55" t="s">
        <v>34</v>
      </c>
      <c r="M57" s="57">
        <v>3</v>
      </c>
      <c r="N57" s="55">
        <v>10</v>
      </c>
      <c r="O57" s="55">
        <v>12</v>
      </c>
      <c r="P57" s="55">
        <f>_xlfn.EXPON.DIST(N57,0.260869565,TRUE)</f>
        <v>0.92636947887435661</v>
      </c>
      <c r="Q57" s="55">
        <f t="shared" si="14"/>
        <v>0.95630120623967008</v>
      </c>
      <c r="R57" s="55">
        <f t="shared" si="15"/>
        <v>2.9931727365313465E-2</v>
      </c>
      <c r="S57" s="55">
        <f t="shared" si="16"/>
        <v>2.5142650986863311</v>
      </c>
      <c r="T57" s="57">
        <f>M57-S57</f>
        <v>0.48573490131366892</v>
      </c>
      <c r="U57" s="57">
        <f t="shared" si="17"/>
        <v>0.23593839435419969</v>
      </c>
      <c r="V57" s="55">
        <f t="shared" si="18"/>
        <v>9.3839903547750098E-2</v>
      </c>
      <c r="Y57" s="75"/>
    </row>
    <row r="58" spans="1:25">
      <c r="A58" s="22">
        <v>0.6333333333333333</v>
      </c>
      <c r="B58" s="22">
        <v>0.6333333333333333</v>
      </c>
      <c r="C58" s="22">
        <v>0.63472222222222219</v>
      </c>
      <c r="D58" s="23" t="s">
        <v>48</v>
      </c>
      <c r="E58" s="23" t="s">
        <v>47</v>
      </c>
      <c r="F58" s="22">
        <f t="shared" si="0"/>
        <v>1.388888888888884E-3</v>
      </c>
      <c r="G58" s="24">
        <f t="shared" si="2"/>
        <v>912</v>
      </c>
      <c r="H58" s="22">
        <f t="shared" si="1"/>
        <v>1.388888888888884E-3</v>
      </c>
      <c r="I58" s="176">
        <f>HOUR(H58)*60+MINUTE(H58)</f>
        <v>2</v>
      </c>
      <c r="J58" s="24">
        <f t="shared" si="3"/>
        <v>1</v>
      </c>
      <c r="L58" s="59" t="s">
        <v>35</v>
      </c>
      <c r="M58" s="57">
        <v>3</v>
      </c>
      <c r="N58" s="59">
        <v>12</v>
      </c>
      <c r="O58" s="59">
        <v>14</v>
      </c>
      <c r="P58" s="55">
        <f t="shared" si="14"/>
        <v>0.95630120623967008</v>
      </c>
      <c r="Q58" s="55">
        <f t="shared" si="14"/>
        <v>0.97406531222494908</v>
      </c>
      <c r="R58" s="55">
        <f t="shared" si="15"/>
        <v>1.7764105985279E-2</v>
      </c>
      <c r="S58" s="55">
        <f t="shared" si="16"/>
        <v>1.492184902763436</v>
      </c>
      <c r="T58" s="57">
        <f>M58-S58</f>
        <v>1.507815097236564</v>
      </c>
      <c r="U58" s="57">
        <f t="shared" si="17"/>
        <v>2.2735063674545088</v>
      </c>
      <c r="V58" s="55">
        <f t="shared" si="18"/>
        <v>1.5236090133629638</v>
      </c>
      <c r="Y58" s="75"/>
    </row>
    <row r="59" spans="1:25">
      <c r="A59" s="22">
        <v>0.6333333333333333</v>
      </c>
      <c r="B59" s="22">
        <v>0.63472222222222219</v>
      </c>
      <c r="C59" s="22">
        <v>0.63749999999999996</v>
      </c>
      <c r="D59" s="23" t="s">
        <v>48</v>
      </c>
      <c r="E59" s="23" t="s">
        <v>47</v>
      </c>
      <c r="F59" s="22">
        <f t="shared" si="0"/>
        <v>2.7777777777777679E-3</v>
      </c>
      <c r="G59" s="24">
        <f t="shared" si="2"/>
        <v>912</v>
      </c>
      <c r="H59" s="22">
        <f t="shared" si="1"/>
        <v>2.7777777777777679E-3</v>
      </c>
      <c r="I59" s="176">
        <f>HOUR(H59)*60+MINUTE(H59)</f>
        <v>4</v>
      </c>
      <c r="J59" s="24">
        <f t="shared" si="3"/>
        <v>0</v>
      </c>
      <c r="L59" s="59" t="s">
        <v>58</v>
      </c>
      <c r="M59" s="57">
        <v>0</v>
      </c>
      <c r="N59" s="59">
        <v>14</v>
      </c>
      <c r="O59" s="59">
        <v>16</v>
      </c>
      <c r="P59" s="55">
        <f t="shared" si="14"/>
        <v>0.97406531222494908</v>
      </c>
      <c r="Q59" s="55">
        <f t="shared" si="14"/>
        <v>0.98460808704060909</v>
      </c>
      <c r="R59" s="55">
        <f t="shared" si="15"/>
        <v>1.0542774815660017E-2</v>
      </c>
      <c r="S59" s="55">
        <f t="shared" si="16"/>
        <v>0.88559308451544139</v>
      </c>
      <c r="T59" s="57">
        <f>M59-S59</f>
        <v>-0.88559308451544139</v>
      </c>
      <c r="U59" s="57">
        <f t="shared" si="17"/>
        <v>0.78427511134157368</v>
      </c>
      <c r="V59" s="55">
        <f t="shared" si="18"/>
        <v>0.88559308451544139</v>
      </c>
      <c r="Y59" s="75"/>
    </row>
    <row r="60" spans="1:25">
      <c r="A60" s="19">
        <v>0.63402777777777775</v>
      </c>
      <c r="B60" s="19">
        <v>0.63680555555555551</v>
      </c>
      <c r="C60" s="19">
        <v>0.63888888888888884</v>
      </c>
      <c r="D60" s="20" t="s">
        <v>46</v>
      </c>
      <c r="E60" s="20" t="s">
        <v>47</v>
      </c>
      <c r="F60" s="19">
        <f t="shared" si="0"/>
        <v>2.0833333333333259E-3</v>
      </c>
      <c r="G60" s="21">
        <f t="shared" si="2"/>
        <v>913</v>
      </c>
      <c r="H60" s="19">
        <f t="shared" si="1"/>
        <v>2.0833333333333259E-3</v>
      </c>
      <c r="I60" s="175">
        <f>HOUR(H60)*60+MINUTE(H60)</f>
        <v>3</v>
      </c>
      <c r="J60" s="21">
        <f t="shared" si="3"/>
        <v>1</v>
      </c>
      <c r="L60" s="63" t="s">
        <v>50</v>
      </c>
      <c r="M60" s="65">
        <v>1</v>
      </c>
      <c r="N60" s="63">
        <v>16</v>
      </c>
      <c r="O60" s="63">
        <v>18</v>
      </c>
      <c r="P60" s="64">
        <f t="shared" si="14"/>
        <v>0.98460808704060909</v>
      </c>
      <c r="Q60" s="64">
        <f t="shared" si="14"/>
        <v>0.99086509208808082</v>
      </c>
      <c r="R60" s="64">
        <f t="shared" si="15"/>
        <v>6.2570050474717309E-3</v>
      </c>
      <c r="S60" s="64">
        <f t="shared" si="16"/>
        <v>0.5255884239876254</v>
      </c>
      <c r="T60" s="65">
        <f>M60-S60</f>
        <v>0.4744115760123746</v>
      </c>
      <c r="U60" s="65">
        <f t="shared" si="17"/>
        <v>0.2250663434545451</v>
      </c>
      <c r="V60" s="64">
        <f t="shared" si="18"/>
        <v>0.42821784724057038</v>
      </c>
      <c r="Y60" s="75"/>
    </row>
    <row r="61" spans="1:25">
      <c r="A61" s="22">
        <v>0.63472222222222219</v>
      </c>
      <c r="B61" s="22">
        <v>0.63749999999999996</v>
      </c>
      <c r="C61" s="22">
        <v>0.6381944444444444</v>
      </c>
      <c r="D61" s="23" t="s">
        <v>48</v>
      </c>
      <c r="E61" s="23" t="s">
        <v>47</v>
      </c>
      <c r="F61" s="22">
        <f t="shared" si="0"/>
        <v>6.9444444444444198E-4</v>
      </c>
      <c r="G61" s="24">
        <f t="shared" si="2"/>
        <v>914</v>
      </c>
      <c r="H61" s="22">
        <f t="shared" si="1"/>
        <v>6.9444444444444198E-4</v>
      </c>
      <c r="I61" s="176">
        <f>HOUR(H61)*60+MINUTE(H61)</f>
        <v>1</v>
      </c>
      <c r="J61" s="24">
        <f t="shared" si="3"/>
        <v>1</v>
      </c>
      <c r="L61" s="142"/>
      <c r="M61" s="142">
        <v>0</v>
      </c>
      <c r="N61" s="142"/>
      <c r="O61" s="142"/>
      <c r="P61" s="142"/>
      <c r="Q61" s="142"/>
      <c r="R61" s="142"/>
      <c r="S61" s="142"/>
      <c r="T61" s="142"/>
      <c r="U61" s="142"/>
      <c r="V61" s="142"/>
      <c r="Y61" s="75"/>
    </row>
    <row r="62" spans="1:25">
      <c r="A62" s="22">
        <v>0.63680555555555551</v>
      </c>
      <c r="B62" s="22">
        <v>0.6381944444444444</v>
      </c>
      <c r="C62" s="22">
        <v>0.64166666666666672</v>
      </c>
      <c r="D62" s="23" t="s">
        <v>48</v>
      </c>
      <c r="E62" s="23" t="s">
        <v>47</v>
      </c>
      <c r="F62" s="22">
        <f t="shared" si="0"/>
        <v>3.4722222222223209E-3</v>
      </c>
      <c r="G62" s="24">
        <f t="shared" si="2"/>
        <v>917</v>
      </c>
      <c r="H62" s="22">
        <f t="shared" si="1"/>
        <v>3.4722222222223209E-3</v>
      </c>
      <c r="I62" s="176">
        <f>HOUR(H62)*60+MINUTE(H62)</f>
        <v>5</v>
      </c>
      <c r="J62" s="24">
        <f t="shared" si="3"/>
        <v>3</v>
      </c>
      <c r="L62" s="157" t="s">
        <v>36</v>
      </c>
      <c r="M62" s="158">
        <f>SUM(M52:M60)</f>
        <v>84</v>
      </c>
      <c r="N62" s="157"/>
      <c r="O62" s="157"/>
      <c r="P62" s="157"/>
      <c r="Q62" s="157"/>
      <c r="R62" s="157"/>
      <c r="S62" s="157"/>
      <c r="T62" s="157"/>
      <c r="U62" s="157"/>
      <c r="V62" s="157">
        <f>SUM(V52:V61)</f>
        <v>5.7128965268129592</v>
      </c>
      <c r="Y62" s="75"/>
    </row>
    <row r="63" spans="1:25">
      <c r="A63" s="19">
        <v>0.63749999999999996</v>
      </c>
      <c r="B63" s="19">
        <v>0.63888888888888884</v>
      </c>
      <c r="C63" s="19">
        <v>0.63958333333333328</v>
      </c>
      <c r="D63" s="20" t="s">
        <v>46</v>
      </c>
      <c r="E63" s="20" t="s">
        <v>47</v>
      </c>
      <c r="F63" s="19">
        <f t="shared" si="0"/>
        <v>6.9444444444444198E-4</v>
      </c>
      <c r="G63" s="21">
        <f t="shared" si="2"/>
        <v>918</v>
      </c>
      <c r="H63" s="19">
        <f t="shared" si="1"/>
        <v>6.9444444444444198E-4</v>
      </c>
      <c r="I63" s="175">
        <f>HOUR(H63)*60+MINUTE(H63)</f>
        <v>1</v>
      </c>
      <c r="J63" s="21">
        <f t="shared" si="3"/>
        <v>1</v>
      </c>
    </row>
    <row r="64" spans="1:25">
      <c r="A64" s="19">
        <v>0.6430555555555556</v>
      </c>
      <c r="B64" s="19">
        <v>0.6430555555555556</v>
      </c>
      <c r="C64" s="19">
        <v>0.6430555555555556</v>
      </c>
      <c r="D64" s="20" t="s">
        <v>46</v>
      </c>
      <c r="E64" s="20" t="s">
        <v>47</v>
      </c>
      <c r="F64" s="19">
        <f t="shared" si="0"/>
        <v>0</v>
      </c>
      <c r="G64" s="21">
        <f t="shared" si="2"/>
        <v>926</v>
      </c>
      <c r="H64" s="19">
        <f t="shared" si="1"/>
        <v>0</v>
      </c>
      <c r="I64" s="175">
        <f>HOUR(H64)*60+MINUTE(H64)</f>
        <v>0</v>
      </c>
      <c r="J64" s="21">
        <f t="shared" si="3"/>
        <v>8</v>
      </c>
    </row>
    <row r="65" spans="1:33">
      <c r="A65" s="19">
        <v>0.64444444444444449</v>
      </c>
      <c r="B65" s="19">
        <v>0.64444444444444449</v>
      </c>
      <c r="C65" s="19">
        <v>0.64722222222222225</v>
      </c>
      <c r="D65" s="20" t="s">
        <v>46</v>
      </c>
      <c r="E65" s="20" t="s">
        <v>47</v>
      </c>
      <c r="F65" s="19">
        <f t="shared" si="0"/>
        <v>2.7777777777777679E-3</v>
      </c>
      <c r="G65" s="21">
        <f t="shared" si="2"/>
        <v>928</v>
      </c>
      <c r="H65" s="19">
        <f t="shared" si="1"/>
        <v>2.7777777777777679E-3</v>
      </c>
      <c r="I65" s="175">
        <f>HOUR(H65)*60+MINUTE(H65)</f>
        <v>4</v>
      </c>
      <c r="J65" s="21">
        <f t="shared" si="3"/>
        <v>2</v>
      </c>
      <c r="L65" s="150" t="s">
        <v>37</v>
      </c>
      <c r="M65" s="151">
        <f>AVERAGE(I179:I262)</f>
        <v>3.8333333333333335</v>
      </c>
      <c r="N65" s="75"/>
      <c r="O65" s="216" t="s">
        <v>43</v>
      </c>
      <c r="P65" s="217"/>
      <c r="Q65" s="217"/>
      <c r="R65" s="217"/>
      <c r="S65" s="217"/>
      <c r="T65" s="217"/>
      <c r="U65" s="217"/>
      <c r="V65" s="218"/>
    </row>
    <row r="66" spans="1:33">
      <c r="A66" s="22">
        <v>0.64583333333333337</v>
      </c>
      <c r="B66" s="22">
        <v>0.64583333333333337</v>
      </c>
      <c r="C66" s="22">
        <v>0.64583333333333337</v>
      </c>
      <c r="D66" s="23" t="s">
        <v>48</v>
      </c>
      <c r="E66" s="23" t="s">
        <v>47</v>
      </c>
      <c r="F66" s="22">
        <f t="shared" si="0"/>
        <v>0</v>
      </c>
      <c r="G66" s="24">
        <f t="shared" si="2"/>
        <v>930</v>
      </c>
      <c r="H66" s="22">
        <f t="shared" si="1"/>
        <v>0</v>
      </c>
      <c r="I66" s="176">
        <f>HOUR(H66)*60+MINUTE(H66)</f>
        <v>0</v>
      </c>
      <c r="J66" s="24">
        <f t="shared" si="3"/>
        <v>2</v>
      </c>
      <c r="L66" s="152" t="s">
        <v>38</v>
      </c>
      <c r="M66" s="154">
        <f>1/M65</f>
        <v>0.2608695652173913</v>
      </c>
      <c r="N66" s="75"/>
      <c r="O66" s="28"/>
      <c r="P66" s="28"/>
      <c r="Q66" s="28"/>
      <c r="R66" s="76"/>
      <c r="S66" s="28"/>
      <c r="T66" s="28"/>
      <c r="U66" s="28"/>
      <c r="V66" s="28"/>
    </row>
    <row r="67" spans="1:33">
      <c r="A67" s="19">
        <v>0.6479166666666667</v>
      </c>
      <c r="B67" s="19">
        <v>0.6479166666666667</v>
      </c>
      <c r="C67" s="19">
        <v>0.65555555555555556</v>
      </c>
      <c r="D67" s="20" t="s">
        <v>46</v>
      </c>
      <c r="E67" s="20" t="s">
        <v>47</v>
      </c>
      <c r="F67" s="19">
        <f t="shared" ref="F67:F130" si="19">C67-B67</f>
        <v>7.6388888888888618E-3</v>
      </c>
      <c r="G67" s="21">
        <f t="shared" ref="G67:G130" si="20">HOUR(A67)*60+MINUTE(A67)</f>
        <v>933</v>
      </c>
      <c r="H67" s="19">
        <f t="shared" ref="H67:H130" si="21">C67-B67</f>
        <v>7.6388888888888618E-3</v>
      </c>
      <c r="I67" s="175">
        <f>HOUR(H67)*60+MINUTE(H67)</f>
        <v>11</v>
      </c>
      <c r="J67" s="21">
        <f t="shared" si="3"/>
        <v>3</v>
      </c>
      <c r="L67" s="152" t="s">
        <v>40</v>
      </c>
      <c r="M67" s="154">
        <v>7</v>
      </c>
      <c r="N67" s="75"/>
      <c r="O67" s="28"/>
      <c r="P67" s="28"/>
      <c r="Q67" s="28"/>
      <c r="R67" s="28"/>
      <c r="S67" s="28"/>
      <c r="T67" s="28"/>
      <c r="U67" s="28"/>
      <c r="V67" s="28"/>
    </row>
    <row r="68" spans="1:33">
      <c r="A68" s="22">
        <v>0.64861111111111114</v>
      </c>
      <c r="B68" s="22">
        <v>0.64861111111111114</v>
      </c>
      <c r="C68" s="22">
        <v>0.65694444444444444</v>
      </c>
      <c r="D68" s="23" t="s">
        <v>48</v>
      </c>
      <c r="E68" s="23" t="s">
        <v>47</v>
      </c>
      <c r="F68" s="22">
        <f t="shared" si="19"/>
        <v>8.3333333333333037E-3</v>
      </c>
      <c r="G68" s="24">
        <f t="shared" si="20"/>
        <v>934</v>
      </c>
      <c r="H68" s="22">
        <f t="shared" si="21"/>
        <v>8.3333333333333037E-3</v>
      </c>
      <c r="I68" s="176">
        <f>HOUR(H68)*60+MINUTE(H68)</f>
        <v>12</v>
      </c>
      <c r="J68" s="24">
        <f t="shared" ref="J68:J131" si="22">G68-G67</f>
        <v>1</v>
      </c>
      <c r="L68" s="155" t="s">
        <v>41</v>
      </c>
      <c r="M68" s="156">
        <v>14.067</v>
      </c>
      <c r="N68" s="28"/>
      <c r="O68" s="28"/>
      <c r="P68" s="28"/>
      <c r="Q68" s="28"/>
      <c r="R68" s="28"/>
      <c r="S68" s="28"/>
      <c r="T68" s="28"/>
      <c r="U68" s="28"/>
      <c r="V68" s="28"/>
    </row>
    <row r="69" spans="1:33">
      <c r="A69" s="19">
        <v>0.65347222222222223</v>
      </c>
      <c r="B69" s="19">
        <v>0.65555555555555556</v>
      </c>
      <c r="C69" s="19">
        <v>0.66249999999999998</v>
      </c>
      <c r="D69" s="20" t="s">
        <v>46</v>
      </c>
      <c r="E69" s="20" t="s">
        <v>47</v>
      </c>
      <c r="F69" s="19">
        <f t="shared" si="19"/>
        <v>6.9444444444444198E-3</v>
      </c>
      <c r="G69" s="21">
        <f t="shared" si="20"/>
        <v>941</v>
      </c>
      <c r="H69" s="19">
        <f t="shared" si="21"/>
        <v>6.9444444444444198E-3</v>
      </c>
      <c r="I69" s="175">
        <f>HOUR(H69)*60+MINUTE(H69)</f>
        <v>10</v>
      </c>
      <c r="J69" s="21">
        <f t="shared" si="22"/>
        <v>7</v>
      </c>
    </row>
    <row r="70" spans="1:33">
      <c r="A70" s="22">
        <v>0.65347222222222223</v>
      </c>
      <c r="B70" s="22">
        <v>0.65694444444444444</v>
      </c>
      <c r="C70" s="22">
        <v>0.65833333333333333</v>
      </c>
      <c r="D70" s="23" t="s">
        <v>48</v>
      </c>
      <c r="E70" s="23" t="s">
        <v>47</v>
      </c>
      <c r="F70" s="22">
        <f t="shared" si="19"/>
        <v>1.388888888888884E-3</v>
      </c>
      <c r="G70" s="24">
        <f t="shared" si="20"/>
        <v>941</v>
      </c>
      <c r="H70" s="22">
        <f t="shared" si="21"/>
        <v>1.388888888888884E-3</v>
      </c>
      <c r="I70" s="176">
        <f>HOUR(H70)*60+MINUTE(H70)</f>
        <v>2</v>
      </c>
      <c r="J70" s="24">
        <f t="shared" si="22"/>
        <v>0</v>
      </c>
    </row>
    <row r="71" spans="1:33">
      <c r="A71" s="19">
        <v>0.66736111111111107</v>
      </c>
      <c r="B71" s="19">
        <v>0.66736111111111107</v>
      </c>
      <c r="C71" s="19">
        <v>0.66736111111111107</v>
      </c>
      <c r="D71" s="20" t="s">
        <v>46</v>
      </c>
      <c r="E71" s="20" t="s">
        <v>47</v>
      </c>
      <c r="F71" s="19">
        <f t="shared" si="19"/>
        <v>0</v>
      </c>
      <c r="G71" s="21">
        <f t="shared" si="20"/>
        <v>961</v>
      </c>
      <c r="H71" s="19">
        <f t="shared" si="21"/>
        <v>0</v>
      </c>
      <c r="I71" s="175">
        <f>HOUR(H71)*60+MINUTE(H71)</f>
        <v>0</v>
      </c>
      <c r="J71" s="21">
        <f t="shared" si="22"/>
        <v>20</v>
      </c>
      <c r="L71" s="207" t="s">
        <v>159</v>
      </c>
      <c r="M71" s="208"/>
      <c r="N71" s="208"/>
      <c r="O71" s="211" t="s">
        <v>160</v>
      </c>
      <c r="P71" s="211"/>
      <c r="Q71" s="211"/>
      <c r="R71" s="211"/>
      <c r="S71" s="211"/>
      <c r="T71" s="211"/>
      <c r="U71" s="167"/>
      <c r="V71" s="167"/>
      <c r="W71" s="168"/>
      <c r="X71" s="168"/>
      <c r="Y71" s="162"/>
      <c r="Z71" s="162"/>
      <c r="AA71" s="162"/>
      <c r="AB71" s="162"/>
      <c r="AC71" s="162"/>
      <c r="AD71" s="162"/>
      <c r="AE71" s="162"/>
      <c r="AF71" s="162"/>
      <c r="AG71" s="163"/>
    </row>
    <row r="72" spans="1:33">
      <c r="A72" s="19">
        <v>0.67222222222222228</v>
      </c>
      <c r="B72" s="19">
        <v>0.67222222222222228</v>
      </c>
      <c r="C72" s="19">
        <v>0.6791666666666667</v>
      </c>
      <c r="D72" s="20" t="s">
        <v>46</v>
      </c>
      <c r="E72" s="20" t="s">
        <v>47</v>
      </c>
      <c r="F72" s="19">
        <f t="shared" si="19"/>
        <v>6.9444444444444198E-3</v>
      </c>
      <c r="G72" s="21">
        <f t="shared" si="20"/>
        <v>968</v>
      </c>
      <c r="H72" s="19">
        <f t="shared" si="21"/>
        <v>6.9444444444444198E-3</v>
      </c>
      <c r="I72" s="175">
        <f>HOUR(H72)*60+MINUTE(H72)</f>
        <v>10</v>
      </c>
      <c r="J72" s="21">
        <f t="shared" si="22"/>
        <v>7</v>
      </c>
      <c r="L72" s="209"/>
      <c r="M72" s="210"/>
      <c r="N72" s="210"/>
      <c r="O72" s="212"/>
      <c r="P72" s="212"/>
      <c r="Q72" s="212"/>
      <c r="R72" s="212"/>
      <c r="S72" s="212"/>
      <c r="T72" s="212"/>
      <c r="U72" s="169"/>
      <c r="V72" s="169"/>
      <c r="W72" s="170"/>
      <c r="X72" s="170"/>
      <c r="Y72" s="165"/>
      <c r="Z72" s="165"/>
      <c r="AA72" s="165"/>
      <c r="AB72" s="165"/>
      <c r="AC72" s="165"/>
      <c r="AD72" s="165"/>
      <c r="AE72" s="165"/>
      <c r="AF72" s="165"/>
      <c r="AG72" s="166"/>
    </row>
    <row r="73" spans="1:33">
      <c r="A73" s="22">
        <v>0.67291666666666672</v>
      </c>
      <c r="B73" s="22">
        <v>0.67291666666666672</v>
      </c>
      <c r="C73" s="22">
        <v>0.6743055555555556</v>
      </c>
      <c r="D73" s="23" t="s">
        <v>48</v>
      </c>
      <c r="E73" s="23" t="s">
        <v>47</v>
      </c>
      <c r="F73" s="22">
        <f t="shared" si="19"/>
        <v>1.388888888888884E-3</v>
      </c>
      <c r="G73" s="24">
        <f t="shared" si="20"/>
        <v>969</v>
      </c>
      <c r="H73" s="22">
        <f t="shared" si="21"/>
        <v>1.388888888888884E-3</v>
      </c>
      <c r="I73" s="176">
        <f>HOUR(H73)*60+MINUTE(H73)</f>
        <v>2</v>
      </c>
      <c r="J73" s="24">
        <f t="shared" si="22"/>
        <v>1</v>
      </c>
      <c r="L73" s="28"/>
      <c r="M73" s="145"/>
      <c r="N73" s="119"/>
      <c r="O73" s="119"/>
      <c r="P73" s="119"/>
      <c r="Q73" s="119"/>
      <c r="R73" s="119"/>
      <c r="S73" s="119"/>
      <c r="T73" s="119"/>
      <c r="U73" s="119"/>
      <c r="V73" s="119"/>
      <c r="W73" s="142"/>
      <c r="X73" s="142"/>
    </row>
    <row r="74" spans="1:33">
      <c r="A74" s="22">
        <v>0.67291666666666672</v>
      </c>
      <c r="B74" s="22">
        <v>0.6743055555555556</v>
      </c>
      <c r="C74" s="22">
        <v>0.68333333333333335</v>
      </c>
      <c r="D74" s="23" t="s">
        <v>48</v>
      </c>
      <c r="E74" s="23" t="s">
        <v>47</v>
      </c>
      <c r="F74" s="22">
        <f t="shared" si="19"/>
        <v>9.0277777777777457E-3</v>
      </c>
      <c r="G74" s="24">
        <f t="shared" si="20"/>
        <v>969</v>
      </c>
      <c r="H74" s="22">
        <f t="shared" si="21"/>
        <v>9.0277777777777457E-3</v>
      </c>
      <c r="I74" s="176">
        <f>HOUR(H74)*60+MINUTE(H74)</f>
        <v>13</v>
      </c>
      <c r="J74" s="146">
        <f t="shared" si="22"/>
        <v>0</v>
      </c>
      <c r="L74" s="96" t="s">
        <v>16</v>
      </c>
      <c r="M74" s="14" t="s">
        <v>18</v>
      </c>
      <c r="N74" s="12" t="s">
        <v>20</v>
      </c>
      <c r="O74" s="12" t="s">
        <v>21</v>
      </c>
      <c r="P74" s="12" t="s">
        <v>22</v>
      </c>
      <c r="Q74" s="12" t="s">
        <v>23</v>
      </c>
      <c r="R74" s="12" t="s">
        <v>24</v>
      </c>
      <c r="S74" s="12" t="s">
        <v>25</v>
      </c>
      <c r="T74" s="12" t="s">
        <v>26</v>
      </c>
      <c r="U74" s="12" t="s">
        <v>27</v>
      </c>
      <c r="V74" s="148" t="s">
        <v>28</v>
      </c>
      <c r="W74" s="147"/>
      <c r="X74" s="147"/>
    </row>
    <row r="75" spans="1:33">
      <c r="A75" s="19">
        <v>0.67777777777777781</v>
      </c>
      <c r="B75" s="19">
        <v>0.6791666666666667</v>
      </c>
      <c r="C75" s="19">
        <v>0.68819444444444444</v>
      </c>
      <c r="D75" s="20" t="s">
        <v>46</v>
      </c>
      <c r="E75" s="20" t="s">
        <v>47</v>
      </c>
      <c r="F75" s="19">
        <f t="shared" si="19"/>
        <v>9.0277777777777457E-3</v>
      </c>
      <c r="G75" s="21">
        <f t="shared" si="20"/>
        <v>976</v>
      </c>
      <c r="H75" s="19">
        <f t="shared" si="21"/>
        <v>9.0277777777777457E-3</v>
      </c>
      <c r="I75" s="175">
        <f>HOUR(H75)*60+MINUTE(H75)</f>
        <v>13</v>
      </c>
      <c r="J75" s="21">
        <f t="shared" si="22"/>
        <v>7</v>
      </c>
      <c r="L75" s="55" t="s">
        <v>29</v>
      </c>
      <c r="M75" s="57" cm="1">
        <f t="array" ref="M75:M83">FREQUENCY(I267:I310,O75:O82)</f>
        <v>17</v>
      </c>
      <c r="N75" s="55">
        <v>0</v>
      </c>
      <c r="O75" s="55">
        <v>2</v>
      </c>
      <c r="P75" s="55">
        <f>_xlfn.EXPON.DIST(N75,0.239130435,TRUE)</f>
        <v>0</v>
      </c>
      <c r="Q75" s="55">
        <f>_xlfn.EXPON.DIST(O75,0.239130435,TRUE)</f>
        <v>0.3801395271131332</v>
      </c>
      <c r="R75" s="55">
        <f>Q75-P75</f>
        <v>0.3801395271131332</v>
      </c>
      <c r="S75" s="55">
        <f>R75*44</f>
        <v>16.726139192977861</v>
      </c>
      <c r="T75" s="57">
        <f>M75-S75</f>
        <v>0.27386080702213889</v>
      </c>
      <c r="U75" s="57">
        <f>T75^2</f>
        <v>7.4999741622817195E-2</v>
      </c>
      <c r="V75" s="149">
        <f>U75/S75</f>
        <v>4.4839840657492766E-3</v>
      </c>
      <c r="W75" s="147"/>
      <c r="X75" s="147"/>
    </row>
    <row r="76" spans="1:33">
      <c r="A76" s="22">
        <v>0.68194444444444446</v>
      </c>
      <c r="B76" s="22">
        <v>0.68333333333333335</v>
      </c>
      <c r="C76" s="22">
        <v>0.68888888888888888</v>
      </c>
      <c r="D76" s="23" t="s">
        <v>48</v>
      </c>
      <c r="E76" s="23" t="s">
        <v>47</v>
      </c>
      <c r="F76" s="22">
        <f t="shared" si="19"/>
        <v>5.5555555555555358E-3</v>
      </c>
      <c r="G76" s="24">
        <f t="shared" si="20"/>
        <v>982</v>
      </c>
      <c r="H76" s="22">
        <f t="shared" si="21"/>
        <v>5.5555555555555358E-3</v>
      </c>
      <c r="I76" s="176">
        <f>HOUR(H76)*60+MINUTE(H76)</f>
        <v>8</v>
      </c>
      <c r="J76" s="24">
        <f t="shared" si="22"/>
        <v>6</v>
      </c>
      <c r="L76" s="58" t="s">
        <v>30</v>
      </c>
      <c r="M76" s="57">
        <v>12</v>
      </c>
      <c r="N76" s="55">
        <v>2</v>
      </c>
      <c r="O76" s="55">
        <v>4</v>
      </c>
      <c r="P76" s="55">
        <f>_xlfn.EXPON.DIST(N76,0.239130435,TRUE)</f>
        <v>0.3801395271131332</v>
      </c>
      <c r="Q76" s="55">
        <f t="shared" ref="P76:Q82" si="23">_xlfn.EXPON.DIST(O76,0.239130435,TRUE)</f>
        <v>0.61577299415246978</v>
      </c>
      <c r="R76" s="55">
        <f t="shared" ref="R76:R82" si="24">Q76-P76</f>
        <v>0.23563346703933657</v>
      </c>
      <c r="S76" s="55">
        <f t="shared" ref="S76:S82" si="25">R76*44</f>
        <v>10.367872549730809</v>
      </c>
      <c r="T76" s="57">
        <f>M76-S76</f>
        <v>1.6321274502691914</v>
      </c>
      <c r="U76" s="57">
        <f t="shared" ref="U76:U82" si="26">T76^2</f>
        <v>2.6638400139222118</v>
      </c>
      <c r="V76" s="55">
        <f t="shared" ref="V76:V82" si="27">U76/S76</f>
        <v>0.25693217206758351</v>
      </c>
    </row>
    <row r="77" spans="1:33">
      <c r="A77" s="19">
        <v>0.68611111111111112</v>
      </c>
      <c r="B77" s="19">
        <v>0.68819444444444444</v>
      </c>
      <c r="C77" s="19">
        <v>0.68958333333333333</v>
      </c>
      <c r="D77" s="20" t="s">
        <v>46</v>
      </c>
      <c r="E77" s="20" t="s">
        <v>47</v>
      </c>
      <c r="F77" s="19">
        <f t="shared" si="19"/>
        <v>1.388888888888884E-3</v>
      </c>
      <c r="G77" s="21">
        <f t="shared" si="20"/>
        <v>988</v>
      </c>
      <c r="H77" s="19">
        <f t="shared" si="21"/>
        <v>1.388888888888884E-3</v>
      </c>
      <c r="I77" s="175">
        <f>HOUR(H77)*60+MINUTE(H77)</f>
        <v>2</v>
      </c>
      <c r="J77" s="21">
        <f t="shared" si="22"/>
        <v>6</v>
      </c>
      <c r="L77" s="55" t="s">
        <v>31</v>
      </c>
      <c r="M77" s="57">
        <v>7</v>
      </c>
      <c r="N77" s="55">
        <v>4</v>
      </c>
      <c r="O77" s="55">
        <v>6</v>
      </c>
      <c r="P77" s="55">
        <f t="shared" si="23"/>
        <v>0.61577299415246978</v>
      </c>
      <c r="Q77" s="55">
        <f t="shared" si="23"/>
        <v>0.76183286645944515</v>
      </c>
      <c r="R77" s="55">
        <f t="shared" si="24"/>
        <v>0.14605987230697537</v>
      </c>
      <c r="S77" s="55">
        <f t="shared" si="25"/>
        <v>6.4266343815069167</v>
      </c>
      <c r="T77" s="57">
        <f>M77-S77</f>
        <v>0.57336561849308332</v>
      </c>
      <c r="U77" s="57">
        <f t="shared" si="26"/>
        <v>0.32874813246995599</v>
      </c>
      <c r="V77" s="55">
        <f t="shared" si="27"/>
        <v>5.1154012030924213E-2</v>
      </c>
    </row>
    <row r="78" spans="1:33">
      <c r="A78" s="19">
        <v>0.69027777777777777</v>
      </c>
      <c r="B78" s="19">
        <v>0.69027777777777777</v>
      </c>
      <c r="C78" s="19">
        <v>0.69166666666666665</v>
      </c>
      <c r="D78" s="20" t="s">
        <v>46</v>
      </c>
      <c r="E78" s="20" t="s">
        <v>47</v>
      </c>
      <c r="F78" s="19">
        <f t="shared" si="19"/>
        <v>1.388888888888884E-3</v>
      </c>
      <c r="G78" s="21">
        <f t="shared" si="20"/>
        <v>994</v>
      </c>
      <c r="H78" s="19">
        <f t="shared" si="21"/>
        <v>1.388888888888884E-3</v>
      </c>
      <c r="I78" s="175">
        <f>HOUR(H78)*60+MINUTE(H78)</f>
        <v>2</v>
      </c>
      <c r="J78" s="21">
        <f t="shared" si="22"/>
        <v>6</v>
      </c>
      <c r="L78" s="55" t="s">
        <v>32</v>
      </c>
      <c r="M78" s="57">
        <v>3</v>
      </c>
      <c r="N78" s="55">
        <v>6</v>
      </c>
      <c r="O78" s="55">
        <v>8</v>
      </c>
      <c r="P78" s="55">
        <f t="shared" si="23"/>
        <v>0.76183286645944515</v>
      </c>
      <c r="Q78" s="55">
        <f t="shared" si="23"/>
        <v>0.8523696079774421</v>
      </c>
      <c r="R78" s="55">
        <f t="shared" si="24"/>
        <v>9.0536741517996955E-2</v>
      </c>
      <c r="S78" s="55">
        <f t="shared" si="25"/>
        <v>3.983616626791866</v>
      </c>
      <c r="T78" s="57">
        <f>M78-S78</f>
        <v>-0.98361662679186601</v>
      </c>
      <c r="U78" s="57">
        <f t="shared" si="26"/>
        <v>0.96750166850140906</v>
      </c>
      <c r="V78" s="55">
        <f t="shared" si="27"/>
        <v>0.24287017530614363</v>
      </c>
    </row>
    <row r="79" spans="1:33">
      <c r="A79" s="22">
        <v>0.69097222222222221</v>
      </c>
      <c r="B79" s="22">
        <v>0.69097222222222221</v>
      </c>
      <c r="C79" s="22">
        <v>0.6958333333333333</v>
      </c>
      <c r="D79" s="23" t="s">
        <v>48</v>
      </c>
      <c r="E79" s="23" t="s">
        <v>47</v>
      </c>
      <c r="F79" s="22">
        <f t="shared" si="19"/>
        <v>4.8611111111110938E-3</v>
      </c>
      <c r="G79" s="24">
        <f t="shared" si="20"/>
        <v>995</v>
      </c>
      <c r="H79" s="22">
        <f t="shared" si="21"/>
        <v>4.8611111111110938E-3</v>
      </c>
      <c r="I79" s="176">
        <f>HOUR(H79)*60+MINUTE(H79)</f>
        <v>7</v>
      </c>
      <c r="J79" s="24">
        <f t="shared" si="22"/>
        <v>1</v>
      </c>
      <c r="L79" s="58" t="s">
        <v>33</v>
      </c>
      <c r="M79" s="57">
        <v>2</v>
      </c>
      <c r="N79" s="55">
        <v>8</v>
      </c>
      <c r="O79" s="55">
        <v>10</v>
      </c>
      <c r="P79" s="55">
        <f t="shared" si="23"/>
        <v>0.8523696079774421</v>
      </c>
      <c r="Q79" s="55">
        <f t="shared" si="23"/>
        <v>0.90848975538842369</v>
      </c>
      <c r="R79" s="55">
        <f t="shared" si="24"/>
        <v>5.6120147410981591E-2</v>
      </c>
      <c r="S79" s="55">
        <f t="shared" si="25"/>
        <v>2.46928648608319</v>
      </c>
      <c r="T79" s="57">
        <f>M79-S79</f>
        <v>-0.46928648608319001</v>
      </c>
      <c r="U79" s="57">
        <f t="shared" si="26"/>
        <v>0.22022980602030809</v>
      </c>
      <c r="V79" s="55">
        <f t="shared" si="27"/>
        <v>8.918762859697138E-2</v>
      </c>
    </row>
    <row r="80" spans="1:33">
      <c r="A80" s="19">
        <v>0.69236111111111109</v>
      </c>
      <c r="B80" s="19">
        <v>0.69236111111111109</v>
      </c>
      <c r="C80" s="19">
        <v>0.69305555555555554</v>
      </c>
      <c r="D80" s="20" t="s">
        <v>46</v>
      </c>
      <c r="E80" s="20" t="s">
        <v>47</v>
      </c>
      <c r="F80" s="19">
        <f t="shared" si="19"/>
        <v>6.9444444444444198E-4</v>
      </c>
      <c r="G80" s="21">
        <f t="shared" si="20"/>
        <v>997</v>
      </c>
      <c r="H80" s="19">
        <f t="shared" si="21"/>
        <v>6.9444444444444198E-4</v>
      </c>
      <c r="I80" s="175">
        <f>HOUR(H80)*60+MINUTE(H80)</f>
        <v>1</v>
      </c>
      <c r="J80" s="21">
        <f t="shared" si="22"/>
        <v>2</v>
      </c>
      <c r="L80" s="55" t="s">
        <v>34</v>
      </c>
      <c r="M80" s="57">
        <v>1</v>
      </c>
      <c r="N80" s="55">
        <v>10</v>
      </c>
      <c r="O80" s="55">
        <v>12</v>
      </c>
      <c r="P80" s="55">
        <f t="shared" si="23"/>
        <v>0.90848975538842369</v>
      </c>
      <c r="Q80" s="55">
        <f t="shared" si="23"/>
        <v>0.94327641650107552</v>
      </c>
      <c r="R80" s="55">
        <f t="shared" si="24"/>
        <v>3.4786661112651829E-2</v>
      </c>
      <c r="S80" s="55">
        <f t="shared" si="25"/>
        <v>1.5306130889566805</v>
      </c>
      <c r="T80" s="57">
        <f>M80-S80</f>
        <v>-0.53061308895668047</v>
      </c>
      <c r="U80" s="57">
        <f t="shared" si="26"/>
        <v>0.28155025017215007</v>
      </c>
      <c r="V80" s="55">
        <f t="shared" si="27"/>
        <v>0.1839460620084365</v>
      </c>
    </row>
    <row r="81" spans="1:27">
      <c r="A81" s="19">
        <v>0.69236111111111109</v>
      </c>
      <c r="B81" s="19">
        <v>0.69305555555555554</v>
      </c>
      <c r="C81" s="19">
        <v>0.69374999999999998</v>
      </c>
      <c r="D81" s="20" t="s">
        <v>46</v>
      </c>
      <c r="E81" s="20" t="s">
        <v>47</v>
      </c>
      <c r="F81" s="19">
        <f t="shared" si="19"/>
        <v>6.9444444444444198E-4</v>
      </c>
      <c r="G81" s="21">
        <f t="shared" si="20"/>
        <v>997</v>
      </c>
      <c r="H81" s="19">
        <f t="shared" si="21"/>
        <v>6.9444444444444198E-4</v>
      </c>
      <c r="I81" s="175">
        <f>HOUR(H81)*60+MINUTE(H81)</f>
        <v>1</v>
      </c>
      <c r="J81" s="21">
        <f t="shared" si="22"/>
        <v>0</v>
      </c>
      <c r="L81" s="55" t="s">
        <v>35</v>
      </c>
      <c r="M81" s="57">
        <v>1</v>
      </c>
      <c r="N81" s="55">
        <v>12</v>
      </c>
      <c r="O81" s="55">
        <v>14</v>
      </c>
      <c r="P81" s="55">
        <f t="shared" si="23"/>
        <v>0.94327641650107552</v>
      </c>
      <c r="Q81" s="55">
        <f t="shared" si="23"/>
        <v>0.96483929270851898</v>
      </c>
      <c r="R81" s="55">
        <f t="shared" si="24"/>
        <v>2.156287620744346E-2</v>
      </c>
      <c r="S81" s="55">
        <f t="shared" si="25"/>
        <v>0.94876655312751224</v>
      </c>
      <c r="T81" s="57">
        <f>M81-S81</f>
        <v>5.1233446872487765E-2</v>
      </c>
      <c r="U81" s="57">
        <f t="shared" si="26"/>
        <v>2.6248660784360263E-3</v>
      </c>
      <c r="V81" s="55">
        <f t="shared" si="27"/>
        <v>2.7666089933118141E-3</v>
      </c>
    </row>
    <row r="82" spans="1:27">
      <c r="A82" s="19">
        <v>0.69861111111111107</v>
      </c>
      <c r="B82" s="19">
        <v>0.69861111111111107</v>
      </c>
      <c r="C82" s="19">
        <v>0.7006944444444444</v>
      </c>
      <c r="D82" s="20" t="s">
        <v>46</v>
      </c>
      <c r="E82" s="20" t="s">
        <v>47</v>
      </c>
      <c r="F82" s="19">
        <f t="shared" si="19"/>
        <v>2.0833333333333259E-3</v>
      </c>
      <c r="G82" s="21">
        <f t="shared" si="20"/>
        <v>1006</v>
      </c>
      <c r="H82" s="19">
        <f t="shared" si="21"/>
        <v>2.0833333333333259E-3</v>
      </c>
      <c r="I82" s="175">
        <f>HOUR(H82)*60+MINUTE(H82)</f>
        <v>3</v>
      </c>
      <c r="J82" s="21">
        <f t="shared" si="22"/>
        <v>9</v>
      </c>
      <c r="L82" s="55" t="s">
        <v>58</v>
      </c>
      <c r="M82" s="55">
        <v>1</v>
      </c>
      <c r="N82" s="55">
        <v>14</v>
      </c>
      <c r="O82" s="55">
        <v>16</v>
      </c>
      <c r="P82" s="55">
        <f t="shared" si="23"/>
        <v>0.96483929270851898</v>
      </c>
      <c r="Q82" s="55">
        <f t="shared" si="23"/>
        <v>0.97820526735126589</v>
      </c>
      <c r="R82" s="55">
        <f t="shared" si="24"/>
        <v>1.3365974642746914E-2</v>
      </c>
      <c r="S82" s="55">
        <f t="shared" si="25"/>
        <v>0.58810288428086421</v>
      </c>
      <c r="T82" s="57">
        <f>M82-S82</f>
        <v>0.41189711571913579</v>
      </c>
      <c r="U82" s="57">
        <f t="shared" si="26"/>
        <v>0.16965923393774313</v>
      </c>
      <c r="V82" s="55">
        <f t="shared" si="27"/>
        <v>0.28848563486506867</v>
      </c>
    </row>
    <row r="83" spans="1:27">
      <c r="A83" s="19">
        <v>0.70138888888888884</v>
      </c>
      <c r="B83" s="19">
        <v>0.70138888888888884</v>
      </c>
      <c r="C83" s="19">
        <v>0.70902777777777781</v>
      </c>
      <c r="D83" s="20" t="s">
        <v>46</v>
      </c>
      <c r="E83" s="20" t="s">
        <v>47</v>
      </c>
      <c r="F83" s="19">
        <f t="shared" si="19"/>
        <v>7.6388888888889728E-3</v>
      </c>
      <c r="G83" s="21">
        <f t="shared" si="20"/>
        <v>1010</v>
      </c>
      <c r="H83" s="19">
        <f t="shared" si="21"/>
        <v>7.6388888888889728E-3</v>
      </c>
      <c r="I83" s="175">
        <f>HOUR(H83)*60+MINUTE(H83)</f>
        <v>11</v>
      </c>
      <c r="J83" s="21">
        <f t="shared" si="22"/>
        <v>4</v>
      </c>
      <c r="L83" s="55"/>
      <c r="M83" s="55">
        <v>0</v>
      </c>
      <c r="N83" s="55"/>
      <c r="O83" s="55"/>
      <c r="P83" s="55"/>
      <c r="Q83" s="55"/>
      <c r="R83" s="55"/>
      <c r="S83" s="55"/>
      <c r="T83" s="55"/>
      <c r="U83" s="55"/>
      <c r="V83" s="55"/>
    </row>
    <row r="84" spans="1:27">
      <c r="A84" s="22">
        <v>0.70277777777777772</v>
      </c>
      <c r="B84" s="22">
        <v>0.70277777777777772</v>
      </c>
      <c r="C84" s="22">
        <v>0.70625000000000004</v>
      </c>
      <c r="D84" s="23" t="s">
        <v>48</v>
      </c>
      <c r="E84" s="23" t="s">
        <v>47</v>
      </c>
      <c r="F84" s="22">
        <f t="shared" si="19"/>
        <v>3.4722222222223209E-3</v>
      </c>
      <c r="G84" s="24">
        <f t="shared" si="20"/>
        <v>1012</v>
      </c>
      <c r="H84" s="22">
        <f t="shared" si="21"/>
        <v>3.4722222222223209E-3</v>
      </c>
      <c r="I84" s="176">
        <f>HOUR(H84)*60+MINUTE(H84)</f>
        <v>5</v>
      </c>
      <c r="J84" s="24">
        <f t="shared" si="22"/>
        <v>2</v>
      </c>
      <c r="L84" s="120"/>
      <c r="M84" s="75"/>
      <c r="N84" s="75"/>
      <c r="O84" s="75"/>
      <c r="P84" s="75"/>
      <c r="Q84" s="75"/>
      <c r="R84" s="75"/>
      <c r="S84" s="75"/>
      <c r="T84" s="75"/>
      <c r="U84" s="75"/>
      <c r="V84" s="121"/>
    </row>
    <row r="85" spans="1:27">
      <c r="A85" s="22">
        <v>0.70347222222222228</v>
      </c>
      <c r="B85" s="22">
        <v>0.70625000000000004</v>
      </c>
      <c r="C85" s="22">
        <v>0.70833333333333337</v>
      </c>
      <c r="D85" s="23" t="s">
        <v>48</v>
      </c>
      <c r="E85" s="23" t="s">
        <v>47</v>
      </c>
      <c r="F85" s="22">
        <f t="shared" si="19"/>
        <v>2.0833333333333259E-3</v>
      </c>
      <c r="G85" s="24">
        <f t="shared" si="20"/>
        <v>1013</v>
      </c>
      <c r="H85" s="22">
        <f t="shared" si="21"/>
        <v>2.0833333333333259E-3</v>
      </c>
      <c r="I85" s="176">
        <f>HOUR(H85)*60+MINUTE(H85)</f>
        <v>3</v>
      </c>
      <c r="J85" s="24">
        <f t="shared" si="22"/>
        <v>1</v>
      </c>
      <c r="L85" s="161" t="s">
        <v>36</v>
      </c>
      <c r="M85" s="158"/>
      <c r="N85" s="157"/>
      <c r="O85" s="157"/>
      <c r="P85" s="157"/>
      <c r="Q85" s="157"/>
      <c r="R85" s="157"/>
      <c r="S85" s="157"/>
      <c r="T85" s="157"/>
      <c r="U85" s="157"/>
      <c r="V85" s="160">
        <f>SUM(V75:V82)</f>
        <v>1.119826277934189</v>
      </c>
    </row>
    <row r="86" spans="1:27">
      <c r="A86" s="22">
        <v>0.70416666666666672</v>
      </c>
      <c r="B86" s="22">
        <v>0.70833333333333337</v>
      </c>
      <c r="C86" s="22">
        <v>0.70902777777777781</v>
      </c>
      <c r="D86" s="23" t="s">
        <v>48</v>
      </c>
      <c r="E86" s="23" t="s">
        <v>47</v>
      </c>
      <c r="F86" s="22">
        <f t="shared" si="19"/>
        <v>6.9444444444444198E-4</v>
      </c>
      <c r="G86" s="24">
        <f t="shared" si="20"/>
        <v>1014</v>
      </c>
      <c r="H86" s="22">
        <f t="shared" si="21"/>
        <v>6.9444444444444198E-4</v>
      </c>
      <c r="I86" s="176">
        <f>HOUR(H86)*60+MINUTE(H86)</f>
        <v>1</v>
      </c>
      <c r="J86" s="146">
        <f t="shared" si="22"/>
        <v>1</v>
      </c>
      <c r="L86" s="75"/>
      <c r="M86" s="75"/>
      <c r="N86" s="75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pans="1:27">
      <c r="A87" s="22">
        <v>0.7055555555555556</v>
      </c>
      <c r="B87" s="22">
        <v>0.70902777777777781</v>
      </c>
      <c r="C87" s="22">
        <v>0.71180555555555558</v>
      </c>
      <c r="D87" s="23" t="s">
        <v>48</v>
      </c>
      <c r="E87" s="23" t="s">
        <v>47</v>
      </c>
      <c r="F87" s="22">
        <f t="shared" si="19"/>
        <v>2.7777777777777679E-3</v>
      </c>
      <c r="G87" s="24">
        <f t="shared" si="20"/>
        <v>1016</v>
      </c>
      <c r="H87" s="22">
        <f t="shared" si="21"/>
        <v>2.7777777777777679E-3</v>
      </c>
      <c r="I87" s="176">
        <f>HOUR(H87)*60+MINUTE(H87)</f>
        <v>4</v>
      </c>
      <c r="J87" s="24">
        <f t="shared" si="22"/>
        <v>2</v>
      </c>
      <c r="L87" s="150" t="s">
        <v>37</v>
      </c>
      <c r="M87" s="151">
        <f>AVERAGE(I267:I310)</f>
        <v>4.1818181818181817</v>
      </c>
      <c r="N87" s="75"/>
      <c r="O87" s="216" t="s">
        <v>43</v>
      </c>
      <c r="P87" s="217"/>
      <c r="Q87" s="217"/>
      <c r="R87" s="217"/>
      <c r="S87" s="217"/>
      <c r="T87" s="217"/>
      <c r="U87" s="217"/>
      <c r="V87" s="218"/>
      <c r="W87" s="28"/>
      <c r="X87" s="28"/>
    </row>
    <row r="88" spans="1:27">
      <c r="A88" s="19">
        <v>0.70972222222222225</v>
      </c>
      <c r="B88" s="19">
        <v>0.70972222222222225</v>
      </c>
      <c r="C88" s="19">
        <v>0.72222222222222221</v>
      </c>
      <c r="D88" s="20" t="s">
        <v>46</v>
      </c>
      <c r="E88" s="20" t="s">
        <v>47</v>
      </c>
      <c r="F88" s="19">
        <f t="shared" si="19"/>
        <v>1.2499999999999956E-2</v>
      </c>
      <c r="G88" s="21">
        <f t="shared" si="20"/>
        <v>1022</v>
      </c>
      <c r="H88" s="19">
        <f t="shared" si="21"/>
        <v>1.2499999999999956E-2</v>
      </c>
      <c r="I88" s="175">
        <f>HOUR(H88)*60+MINUTE(H88)</f>
        <v>18</v>
      </c>
      <c r="J88" s="21">
        <f t="shared" si="22"/>
        <v>6</v>
      </c>
      <c r="L88" s="152" t="s">
        <v>38</v>
      </c>
      <c r="M88" s="154">
        <f>1/M87</f>
        <v>0.2391304347826087</v>
      </c>
      <c r="N88" s="75">
        <v>0.2391304347826087</v>
      </c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spans="1:27">
      <c r="A89" s="22">
        <v>0.71250000000000002</v>
      </c>
      <c r="B89" s="22">
        <v>0.71250000000000002</v>
      </c>
      <c r="C89" s="22">
        <v>0.71319444444444446</v>
      </c>
      <c r="D89" s="23" t="s">
        <v>48</v>
      </c>
      <c r="E89" s="23" t="s">
        <v>47</v>
      </c>
      <c r="F89" s="22">
        <f t="shared" si="19"/>
        <v>6.9444444444444198E-4</v>
      </c>
      <c r="G89" s="24">
        <f t="shared" si="20"/>
        <v>1026</v>
      </c>
      <c r="H89" s="22">
        <f t="shared" si="21"/>
        <v>6.9444444444444198E-4</v>
      </c>
      <c r="I89" s="176">
        <f>HOUR(H89)*60+MINUTE(H89)</f>
        <v>1</v>
      </c>
      <c r="J89" s="24">
        <f t="shared" si="22"/>
        <v>4</v>
      </c>
      <c r="L89" s="152" t="s">
        <v>40</v>
      </c>
      <c r="M89" s="154">
        <v>6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spans="1:27">
      <c r="A90" s="22">
        <v>0.71944444444444444</v>
      </c>
      <c r="B90" s="22">
        <v>0.71944444444444444</v>
      </c>
      <c r="C90" s="22">
        <v>0.72152777777777777</v>
      </c>
      <c r="D90" s="23" t="s">
        <v>48</v>
      </c>
      <c r="E90" s="23" t="s">
        <v>47</v>
      </c>
      <c r="F90" s="22">
        <f t="shared" si="19"/>
        <v>2.0833333333333259E-3</v>
      </c>
      <c r="G90" s="24">
        <f t="shared" si="20"/>
        <v>1036</v>
      </c>
      <c r="H90" s="22">
        <f t="shared" si="21"/>
        <v>2.0833333333333259E-3</v>
      </c>
      <c r="I90" s="176">
        <f>HOUR(H90)*60+MINUTE(H90)</f>
        <v>3</v>
      </c>
      <c r="J90" s="24">
        <f t="shared" si="22"/>
        <v>10</v>
      </c>
      <c r="L90" s="155" t="s">
        <v>41</v>
      </c>
      <c r="M90" s="156">
        <v>12.592000000000001</v>
      </c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spans="1:27">
      <c r="A91" s="22">
        <v>0.72152777777777777</v>
      </c>
      <c r="B91" s="22">
        <v>0.72152777777777777</v>
      </c>
      <c r="C91" s="22">
        <v>0.72777777777777775</v>
      </c>
      <c r="D91" s="23" t="s">
        <v>48</v>
      </c>
      <c r="E91" s="23" t="s">
        <v>47</v>
      </c>
      <c r="F91" s="22">
        <f t="shared" si="19"/>
        <v>6.2499999999999778E-3</v>
      </c>
      <c r="G91" s="24">
        <f t="shared" si="20"/>
        <v>1039</v>
      </c>
      <c r="H91" s="22">
        <f t="shared" si="21"/>
        <v>6.2499999999999778E-3</v>
      </c>
      <c r="I91" s="176">
        <f>HOUR(H91)*60+MINUTE(H91)</f>
        <v>9</v>
      </c>
      <c r="J91" s="24">
        <f t="shared" si="22"/>
        <v>3</v>
      </c>
    </row>
    <row r="92" spans="1:27">
      <c r="A92" s="19">
        <v>0.72222222222222221</v>
      </c>
      <c r="B92" s="19">
        <v>0.72222222222222221</v>
      </c>
      <c r="C92" s="19">
        <v>0.72638888888888886</v>
      </c>
      <c r="D92" s="20" t="s">
        <v>46</v>
      </c>
      <c r="E92" s="20" t="s">
        <v>47</v>
      </c>
      <c r="F92" s="19">
        <f t="shared" si="19"/>
        <v>4.1666666666666519E-3</v>
      </c>
      <c r="G92" s="21">
        <f t="shared" si="20"/>
        <v>1040</v>
      </c>
      <c r="H92" s="19">
        <f t="shared" si="21"/>
        <v>4.1666666666666519E-3</v>
      </c>
      <c r="I92" s="175">
        <f>HOUR(H92)*60+MINUTE(H92)</f>
        <v>6</v>
      </c>
      <c r="J92" s="21">
        <f t="shared" si="22"/>
        <v>1</v>
      </c>
    </row>
    <row r="93" spans="1:27">
      <c r="A93" s="19">
        <v>0.72569444444444442</v>
      </c>
      <c r="B93" s="19">
        <v>0.72638888888888886</v>
      </c>
      <c r="C93" s="19">
        <v>0.72916666666666663</v>
      </c>
      <c r="D93" s="20" t="s">
        <v>46</v>
      </c>
      <c r="E93" s="20" t="s">
        <v>47</v>
      </c>
      <c r="F93" s="19">
        <f t="shared" si="19"/>
        <v>2.7777777777777679E-3</v>
      </c>
      <c r="G93" s="21">
        <f t="shared" si="20"/>
        <v>1045</v>
      </c>
      <c r="H93" s="19">
        <f t="shared" si="21"/>
        <v>2.7777777777777679E-3</v>
      </c>
      <c r="I93" s="175">
        <f>HOUR(H93)*60+MINUTE(H93)</f>
        <v>4</v>
      </c>
      <c r="J93" s="21">
        <f t="shared" si="22"/>
        <v>5</v>
      </c>
      <c r="L93" s="207" t="s">
        <v>161</v>
      </c>
      <c r="M93" s="208"/>
      <c r="N93" s="208"/>
      <c r="O93" s="211" t="s">
        <v>162</v>
      </c>
      <c r="P93" s="211"/>
      <c r="Q93" s="211"/>
      <c r="R93" s="211"/>
      <c r="S93" s="211"/>
      <c r="T93" s="211"/>
      <c r="U93" s="171"/>
      <c r="V93" s="171"/>
      <c r="W93" s="171"/>
      <c r="X93" s="162"/>
      <c r="Y93" s="162"/>
      <c r="Z93" s="162"/>
      <c r="AA93" s="163"/>
    </row>
    <row r="94" spans="1:27">
      <c r="A94" s="19">
        <v>0.73055555555555551</v>
      </c>
      <c r="B94" s="19">
        <v>0.73055555555555551</v>
      </c>
      <c r="C94" s="19">
        <v>0.73402777777777772</v>
      </c>
      <c r="D94" s="20" t="s">
        <v>46</v>
      </c>
      <c r="E94" s="20" t="s">
        <v>47</v>
      </c>
      <c r="F94" s="19">
        <f t="shared" si="19"/>
        <v>3.4722222222222099E-3</v>
      </c>
      <c r="G94" s="21">
        <f t="shared" si="20"/>
        <v>1052</v>
      </c>
      <c r="H94" s="19">
        <f t="shared" si="21"/>
        <v>3.4722222222222099E-3</v>
      </c>
      <c r="I94" s="175">
        <f>HOUR(H94)*60+MINUTE(H94)</f>
        <v>5</v>
      </c>
      <c r="J94" s="21">
        <f t="shared" si="22"/>
        <v>7</v>
      </c>
      <c r="L94" s="209"/>
      <c r="M94" s="210"/>
      <c r="N94" s="210"/>
      <c r="O94" s="212"/>
      <c r="P94" s="212"/>
      <c r="Q94" s="212"/>
      <c r="R94" s="212"/>
      <c r="S94" s="212"/>
      <c r="T94" s="212"/>
      <c r="U94" s="173"/>
      <c r="V94" s="173"/>
      <c r="W94" s="173"/>
      <c r="X94" s="165"/>
      <c r="Y94" s="165"/>
      <c r="Z94" s="165"/>
      <c r="AA94" s="166"/>
    </row>
    <row r="95" spans="1:27">
      <c r="A95" s="22">
        <v>0.73263888888888884</v>
      </c>
      <c r="B95" s="22">
        <v>0.73263888888888884</v>
      </c>
      <c r="C95" s="22">
        <v>0.73402777777777772</v>
      </c>
      <c r="D95" s="23" t="s">
        <v>48</v>
      </c>
      <c r="E95" s="23" t="s">
        <v>47</v>
      </c>
      <c r="F95" s="22">
        <f t="shared" si="19"/>
        <v>1.388888888888884E-3</v>
      </c>
      <c r="G95" s="24">
        <f t="shared" si="20"/>
        <v>1055</v>
      </c>
      <c r="H95" s="22">
        <f t="shared" si="21"/>
        <v>1.388888888888884E-3</v>
      </c>
      <c r="I95" s="176">
        <f>HOUR(H95)*60+MINUTE(H95)</f>
        <v>2</v>
      </c>
      <c r="J95" s="24">
        <f t="shared" si="22"/>
        <v>3</v>
      </c>
      <c r="L95" s="133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</row>
    <row r="96" spans="1:27">
      <c r="A96" s="19">
        <v>0.73750000000000004</v>
      </c>
      <c r="B96" s="19">
        <v>0.73750000000000004</v>
      </c>
      <c r="C96" s="19">
        <v>0.73819444444444449</v>
      </c>
      <c r="D96" s="20" t="s">
        <v>46</v>
      </c>
      <c r="E96" s="20" t="s">
        <v>47</v>
      </c>
      <c r="F96" s="19">
        <f t="shared" si="19"/>
        <v>6.9444444444444198E-4</v>
      </c>
      <c r="G96" s="21">
        <f t="shared" si="20"/>
        <v>1062</v>
      </c>
      <c r="H96" s="19">
        <f t="shared" si="21"/>
        <v>6.9444444444444198E-4</v>
      </c>
      <c r="I96" s="175">
        <f>HOUR(H96)*60+MINUTE(H96)</f>
        <v>1</v>
      </c>
      <c r="J96" s="21">
        <f t="shared" si="22"/>
        <v>7</v>
      </c>
      <c r="L96" s="12" t="s">
        <v>16</v>
      </c>
      <c r="M96" s="14" t="s">
        <v>18</v>
      </c>
      <c r="N96" s="12" t="s">
        <v>20</v>
      </c>
      <c r="O96" s="12" t="s">
        <v>21</v>
      </c>
      <c r="P96" s="12" t="s">
        <v>22</v>
      </c>
      <c r="Q96" s="12" t="s">
        <v>23</v>
      </c>
      <c r="R96" s="12" t="s">
        <v>24</v>
      </c>
      <c r="S96" s="12" t="s">
        <v>25</v>
      </c>
      <c r="T96" s="12" t="s">
        <v>26</v>
      </c>
      <c r="U96" s="12" t="s">
        <v>27</v>
      </c>
      <c r="V96" s="12" t="s">
        <v>28</v>
      </c>
    </row>
    <row r="97" spans="1:23">
      <c r="A97" s="19">
        <v>0.73958333333333337</v>
      </c>
      <c r="B97" s="19">
        <v>0.73958333333333337</v>
      </c>
      <c r="C97" s="19">
        <v>0.74444444444444446</v>
      </c>
      <c r="D97" s="20" t="s">
        <v>46</v>
      </c>
      <c r="E97" s="20" t="s">
        <v>47</v>
      </c>
      <c r="F97" s="19">
        <f t="shared" si="19"/>
        <v>4.8611111111110938E-3</v>
      </c>
      <c r="G97" s="21">
        <f t="shared" si="20"/>
        <v>1065</v>
      </c>
      <c r="H97" s="19">
        <f t="shared" si="21"/>
        <v>4.8611111111110938E-3</v>
      </c>
      <c r="I97" s="175">
        <f>HOUR(H97)*60+MINUTE(H97)</f>
        <v>7</v>
      </c>
      <c r="J97" s="21">
        <f t="shared" si="22"/>
        <v>3</v>
      </c>
      <c r="L97" s="55" t="s">
        <v>29</v>
      </c>
      <c r="M97" s="57" cm="1">
        <f t="array" ref="M97:M106">FREQUENCY(I2:I175,O97:O105)</f>
        <v>77</v>
      </c>
      <c r="N97" s="55">
        <v>0</v>
      </c>
      <c r="O97" s="55">
        <v>2</v>
      </c>
      <c r="P97" s="124">
        <f>_xlfn.EXPON.DIST(N97,0.254758419,TRUE)</f>
        <v>0</v>
      </c>
      <c r="Q97" s="124">
        <f>_xlfn.EXPON.DIST(O97,0.254758419,TRUE)</f>
        <v>0.39921421444009331</v>
      </c>
      <c r="R97" s="55">
        <f>Q97-P97</f>
        <v>0.39921421444009331</v>
      </c>
      <c r="S97" s="55">
        <f>R97*173</f>
        <v>69.064059098136141</v>
      </c>
      <c r="T97" s="57">
        <f>M97-S97</f>
        <v>7.9359409018638587</v>
      </c>
      <c r="U97" s="57">
        <f>T97^2</f>
        <v>62.979157997875753</v>
      </c>
      <c r="V97" s="55">
        <f>U97/S97</f>
        <v>0.91189482373727715</v>
      </c>
    </row>
    <row r="98" spans="1:23">
      <c r="A98" s="22">
        <v>0.7416666666666667</v>
      </c>
      <c r="B98" s="22">
        <v>0.7416666666666667</v>
      </c>
      <c r="C98" s="22">
        <v>0.74652777777777779</v>
      </c>
      <c r="D98" s="23" t="s">
        <v>48</v>
      </c>
      <c r="E98" s="23" t="s">
        <v>47</v>
      </c>
      <c r="F98" s="22">
        <f t="shared" si="19"/>
        <v>4.8611111111110938E-3</v>
      </c>
      <c r="G98" s="24">
        <f t="shared" si="20"/>
        <v>1068</v>
      </c>
      <c r="H98" s="22">
        <f t="shared" si="21"/>
        <v>4.8611111111110938E-3</v>
      </c>
      <c r="I98" s="176">
        <f>HOUR(H98)*60+MINUTE(H98)</f>
        <v>7</v>
      </c>
      <c r="J98" s="24">
        <f t="shared" si="22"/>
        <v>3</v>
      </c>
      <c r="L98" s="58" t="s">
        <v>30</v>
      </c>
      <c r="M98" s="57">
        <v>40</v>
      </c>
      <c r="N98" s="55">
        <v>2</v>
      </c>
      <c r="O98" s="55">
        <v>4</v>
      </c>
      <c r="P98" s="124">
        <f>_xlfn.EXPON.DIST(N98,0.254758419,TRUE)</f>
        <v>0.39921421444009331</v>
      </c>
      <c r="Q98" s="124">
        <f>_xlfn.EXPON.DIST(O98,0.254758419,TRUE)</f>
        <v>0.63905643986916583</v>
      </c>
      <c r="R98" s="55">
        <f t="shared" ref="R98:R105" si="28">Q98-P98</f>
        <v>0.23984222542907252</v>
      </c>
      <c r="S98" s="55">
        <f t="shared" ref="S98:S105" si="29">R98*173</f>
        <v>41.492704999229545</v>
      </c>
      <c r="T98" s="57">
        <f>M98-S98</f>
        <v>-1.4927049992295451</v>
      </c>
      <c r="U98" s="57">
        <f t="shared" ref="U98:U105" si="30">T98^2</f>
        <v>2.2281682147248763</v>
      </c>
      <c r="V98" s="55">
        <f t="shared" ref="V98:V105" si="31">U98/S98</f>
        <v>5.3700239952209669E-2</v>
      </c>
    </row>
    <row r="99" spans="1:23">
      <c r="A99" s="19">
        <v>0.74375000000000002</v>
      </c>
      <c r="B99" s="19">
        <v>0.74444444444444446</v>
      </c>
      <c r="C99" s="19">
        <v>0.75</v>
      </c>
      <c r="D99" s="20" t="s">
        <v>46</v>
      </c>
      <c r="E99" s="20" t="s">
        <v>47</v>
      </c>
      <c r="F99" s="19">
        <f t="shared" si="19"/>
        <v>5.5555555555555358E-3</v>
      </c>
      <c r="G99" s="21">
        <f t="shared" si="20"/>
        <v>1071</v>
      </c>
      <c r="H99" s="19">
        <f t="shared" si="21"/>
        <v>5.5555555555555358E-3</v>
      </c>
      <c r="I99" s="175">
        <f>HOUR(H99)*60+MINUTE(H99)</f>
        <v>8</v>
      </c>
      <c r="J99" s="21">
        <f t="shared" si="22"/>
        <v>3</v>
      </c>
      <c r="L99" s="55" t="s">
        <v>31</v>
      </c>
      <c r="M99" s="57">
        <v>23</v>
      </c>
      <c r="N99" s="55">
        <v>4</v>
      </c>
      <c r="O99" s="55">
        <v>6</v>
      </c>
      <c r="P99" s="124">
        <f>_xlfn.EXPON.DIST(N99,0.254758419,TRUE)</f>
        <v>0.63905643986916583</v>
      </c>
      <c r="Q99" s="124">
        <f>_xlfn.EXPON.DIST(O99,0.254758419,TRUE)</f>
        <v>0.78315023968400732</v>
      </c>
      <c r="R99" s="55">
        <f t="shared" si="28"/>
        <v>0.14409379981484149</v>
      </c>
      <c r="S99" s="55">
        <f t="shared" si="29"/>
        <v>24.92822736796758</v>
      </c>
      <c r="T99" s="57">
        <f>M99-S99</f>
        <v>-1.9282273679675797</v>
      </c>
      <c r="U99" s="57">
        <f t="shared" si="30"/>
        <v>3.7180607825791796</v>
      </c>
      <c r="V99" s="55">
        <f t="shared" si="31"/>
        <v>0.14915062863061154</v>
      </c>
    </row>
    <row r="100" spans="1:23">
      <c r="A100" s="22">
        <v>0.74375000000000002</v>
      </c>
      <c r="B100" s="22">
        <v>0.74652777777777779</v>
      </c>
      <c r="C100" s="22">
        <v>0.75347222222222221</v>
      </c>
      <c r="D100" s="23" t="s">
        <v>48</v>
      </c>
      <c r="E100" s="23" t="s">
        <v>47</v>
      </c>
      <c r="F100" s="22">
        <f t="shared" si="19"/>
        <v>6.9444444444444198E-3</v>
      </c>
      <c r="G100" s="24">
        <f t="shared" si="20"/>
        <v>1071</v>
      </c>
      <c r="H100" s="22">
        <f t="shared" si="21"/>
        <v>6.9444444444444198E-3</v>
      </c>
      <c r="I100" s="176">
        <f>HOUR(H100)*60+MINUTE(H100)</f>
        <v>10</v>
      </c>
      <c r="J100" s="24">
        <f t="shared" si="22"/>
        <v>0</v>
      </c>
      <c r="L100" s="55" t="s">
        <v>32</v>
      </c>
      <c r="M100" s="57">
        <v>13</v>
      </c>
      <c r="N100" s="55">
        <v>6</v>
      </c>
      <c r="O100" s="55">
        <v>8</v>
      </c>
      <c r="P100" s="124">
        <f>_xlfn.EXPON.DIST(N100,0.254758419,TRUE)</f>
        <v>0.78315023968400732</v>
      </c>
      <c r="Q100" s="124">
        <f>_xlfn.EXPON.DIST(O100,0.254758419,TRUE)</f>
        <v>0.86971974640007887</v>
      </c>
      <c r="R100" s="55">
        <f t="shared" si="28"/>
        <v>8.6569506716071554E-2</v>
      </c>
      <c r="S100" s="55">
        <f t="shared" si="29"/>
        <v>14.976524661880379</v>
      </c>
      <c r="T100" s="57">
        <f>M100-S100</f>
        <v>-1.9765246618803793</v>
      </c>
      <c r="U100" s="57">
        <f t="shared" si="30"/>
        <v>3.9066497390213479</v>
      </c>
      <c r="V100" s="55">
        <f t="shared" si="31"/>
        <v>0.26085155449748032</v>
      </c>
    </row>
    <row r="101" spans="1:23">
      <c r="A101" s="19">
        <v>0.74444444444444446</v>
      </c>
      <c r="B101" s="19">
        <v>0.75</v>
      </c>
      <c r="C101" s="19">
        <v>0.75208333333333333</v>
      </c>
      <c r="D101" s="20" t="s">
        <v>46</v>
      </c>
      <c r="E101" s="20" t="s">
        <v>47</v>
      </c>
      <c r="F101" s="19">
        <f t="shared" si="19"/>
        <v>2.0833333333333259E-3</v>
      </c>
      <c r="G101" s="21">
        <f t="shared" si="20"/>
        <v>1072</v>
      </c>
      <c r="H101" s="19">
        <f t="shared" si="21"/>
        <v>2.0833333333333259E-3</v>
      </c>
      <c r="I101" s="175">
        <f>HOUR(H101)*60+MINUTE(H101)</f>
        <v>3</v>
      </c>
      <c r="J101" s="21">
        <f t="shared" si="22"/>
        <v>1</v>
      </c>
      <c r="L101" s="58" t="s">
        <v>33</v>
      </c>
      <c r="M101" s="57">
        <v>9</v>
      </c>
      <c r="N101" s="55">
        <v>8</v>
      </c>
      <c r="O101" s="55">
        <v>10</v>
      </c>
      <c r="P101" s="124">
        <f>_xlfn.EXPON.DIST(N101,0.254758419,TRUE)</f>
        <v>0.86971974640007887</v>
      </c>
      <c r="Q101" s="124">
        <f>_xlfn.EXPON.DIST(O101,0.254758419,TRUE)</f>
        <v>0.92172947549802753</v>
      </c>
      <c r="R101" s="55">
        <f t="shared" si="28"/>
        <v>5.2009729097948654E-2</v>
      </c>
      <c r="S101" s="55">
        <f t="shared" si="29"/>
        <v>8.9976831339451167</v>
      </c>
      <c r="T101" s="57">
        <f>M101-S101</f>
        <v>2.3168660548833486E-3</v>
      </c>
      <c r="U101" s="57">
        <f t="shared" si="30"/>
        <v>5.3678683162707318E-6</v>
      </c>
      <c r="V101" s="55">
        <f t="shared" si="31"/>
        <v>5.9658339111983603E-7</v>
      </c>
    </row>
    <row r="102" spans="1:23">
      <c r="A102" s="19">
        <v>0.74444444444444446</v>
      </c>
      <c r="B102" s="19">
        <v>0.75208333333333333</v>
      </c>
      <c r="C102" s="19">
        <v>0.75416666666666665</v>
      </c>
      <c r="D102" s="20" t="s">
        <v>46</v>
      </c>
      <c r="E102" s="20" t="s">
        <v>47</v>
      </c>
      <c r="F102" s="19">
        <f t="shared" si="19"/>
        <v>2.0833333333333259E-3</v>
      </c>
      <c r="G102" s="21">
        <f t="shared" si="20"/>
        <v>1072</v>
      </c>
      <c r="H102" s="19">
        <f t="shared" si="21"/>
        <v>2.0833333333333259E-3</v>
      </c>
      <c r="I102" s="175">
        <f>HOUR(H102)*60+MINUTE(H102)</f>
        <v>3</v>
      </c>
      <c r="J102" s="21">
        <f t="shared" si="22"/>
        <v>0</v>
      </c>
      <c r="L102" s="55" t="s">
        <v>34</v>
      </c>
      <c r="M102" s="57">
        <v>6</v>
      </c>
      <c r="N102" s="55">
        <v>10</v>
      </c>
      <c r="O102" s="55">
        <v>12</v>
      </c>
      <c r="P102" s="124">
        <f>_xlfn.EXPON.DIST(N102,0.254758419,TRUE)</f>
        <v>0.92172947549802753</v>
      </c>
      <c r="Q102" s="124">
        <f>_xlfn.EXPON.DIST(O102,0.254758419,TRUE)</f>
        <v>0.95297618145089658</v>
      </c>
      <c r="R102" s="55">
        <f t="shared" si="28"/>
        <v>3.1246705952869047E-2</v>
      </c>
      <c r="S102" s="55">
        <f t="shared" si="29"/>
        <v>5.4056801298463455</v>
      </c>
      <c r="T102" s="57">
        <f>M102-S102</f>
        <v>0.59431987015365451</v>
      </c>
      <c r="U102" s="57">
        <f t="shared" si="30"/>
        <v>0.35321610805945675</v>
      </c>
      <c r="V102" s="55">
        <f t="shared" si="31"/>
        <v>6.5341659065109498E-2</v>
      </c>
    </row>
    <row r="103" spans="1:23">
      <c r="A103" s="22">
        <v>0.74722222222222223</v>
      </c>
      <c r="B103" s="22">
        <v>0.75347222222222221</v>
      </c>
      <c r="C103" s="22">
        <v>0.75763888888888886</v>
      </c>
      <c r="D103" s="23" t="s">
        <v>48</v>
      </c>
      <c r="E103" s="23" t="s">
        <v>47</v>
      </c>
      <c r="F103" s="22">
        <f t="shared" si="19"/>
        <v>4.1666666666666519E-3</v>
      </c>
      <c r="G103" s="24">
        <f t="shared" si="20"/>
        <v>1076</v>
      </c>
      <c r="H103" s="22">
        <f t="shared" si="21"/>
        <v>4.1666666666666519E-3</v>
      </c>
      <c r="I103" s="176">
        <f>HOUR(H103)*60+MINUTE(H103)</f>
        <v>6</v>
      </c>
      <c r="J103" s="24">
        <f t="shared" si="22"/>
        <v>4</v>
      </c>
      <c r="L103" s="55" t="s">
        <v>78</v>
      </c>
      <c r="M103" s="57">
        <v>4</v>
      </c>
      <c r="N103" s="55">
        <v>12</v>
      </c>
      <c r="O103" s="55">
        <v>14</v>
      </c>
      <c r="P103" s="124">
        <f>_xlfn.EXPON.DIST(N103,0.254758419,TRUE)</f>
        <v>0.95297618145089658</v>
      </c>
      <c r="Q103" s="124">
        <f>_xlfn.EXPON.DIST(O103,0.254758419,TRUE)</f>
        <v>0.97174875823295037</v>
      </c>
      <c r="R103" s="55">
        <f t="shared" si="28"/>
        <v>1.8772576782053796E-2</v>
      </c>
      <c r="S103" s="55">
        <f t="shared" si="29"/>
        <v>3.2476557832953068</v>
      </c>
      <c r="T103" s="57">
        <f>M103-S103</f>
        <v>0.7523442167046932</v>
      </c>
      <c r="U103" s="57">
        <f t="shared" si="30"/>
        <v>0.5660218204089984</v>
      </c>
      <c r="V103" s="55">
        <f t="shared" si="31"/>
        <v>0.17428627236925695</v>
      </c>
    </row>
    <row r="104" spans="1:23">
      <c r="A104" s="19">
        <v>0.74861111111111112</v>
      </c>
      <c r="B104" s="19">
        <v>0.75416666666666665</v>
      </c>
      <c r="C104" s="19">
        <v>0.75694444444444442</v>
      </c>
      <c r="D104" s="20" t="s">
        <v>46</v>
      </c>
      <c r="E104" s="20" t="s">
        <v>47</v>
      </c>
      <c r="F104" s="19">
        <f t="shared" si="19"/>
        <v>2.7777777777777679E-3</v>
      </c>
      <c r="G104" s="21">
        <f t="shared" si="20"/>
        <v>1078</v>
      </c>
      <c r="H104" s="19">
        <f t="shared" si="21"/>
        <v>2.7777777777777679E-3</v>
      </c>
      <c r="I104" s="175">
        <f>HOUR(H104)*60+MINUTE(H104)</f>
        <v>4</v>
      </c>
      <c r="J104" s="21">
        <f t="shared" si="22"/>
        <v>2</v>
      </c>
      <c r="L104" s="55" t="s">
        <v>71</v>
      </c>
      <c r="M104" s="57">
        <v>1</v>
      </c>
      <c r="N104" s="55">
        <v>14</v>
      </c>
      <c r="O104" s="55">
        <v>16</v>
      </c>
      <c r="P104" s="124">
        <f>_xlfn.EXPON.DIST(N104,0.254758419,TRUE)</f>
        <v>0.97174875823295037</v>
      </c>
      <c r="Q104" s="124">
        <f>_xlfn.EXPON.DIST(O104,0.254758419,TRUE)</f>
        <v>0.98302705552194025</v>
      </c>
      <c r="R104" s="55">
        <f t="shared" si="28"/>
        <v>1.127829728898988E-2</v>
      </c>
      <c r="S104" s="55">
        <f t="shared" si="29"/>
        <v>1.9511454309952492</v>
      </c>
      <c r="T104" s="57">
        <f>M104-S104</f>
        <v>-0.95114543099524917</v>
      </c>
      <c r="U104" s="57">
        <f t="shared" si="30"/>
        <v>0.90467763090313835</v>
      </c>
      <c r="V104" s="55">
        <f t="shared" si="31"/>
        <v>0.46366488962418156</v>
      </c>
    </row>
    <row r="105" spans="1:23">
      <c r="A105" s="19">
        <v>0.75069444444444444</v>
      </c>
      <c r="B105" s="19">
        <v>0.75694444444444442</v>
      </c>
      <c r="C105" s="19">
        <v>0.76041666666666663</v>
      </c>
      <c r="D105" s="20" t="s">
        <v>46</v>
      </c>
      <c r="E105" s="20" t="s">
        <v>47</v>
      </c>
      <c r="F105" s="19">
        <f t="shared" si="19"/>
        <v>3.4722222222222099E-3</v>
      </c>
      <c r="G105" s="21">
        <f t="shared" si="20"/>
        <v>1081</v>
      </c>
      <c r="H105" s="19">
        <f t="shared" si="21"/>
        <v>3.4722222222222099E-3</v>
      </c>
      <c r="I105" s="175">
        <f>HOUR(H105)*60+MINUTE(H105)</f>
        <v>5</v>
      </c>
      <c r="J105" s="21">
        <f t="shared" si="22"/>
        <v>3</v>
      </c>
      <c r="L105" s="55" t="s">
        <v>72</v>
      </c>
      <c r="M105" s="55">
        <v>1</v>
      </c>
      <c r="N105" s="55">
        <v>16</v>
      </c>
      <c r="O105" s="55">
        <v>18</v>
      </c>
      <c r="P105" s="124">
        <f>_xlfn.EXPON.DIST(N105,0.254758419,TRUE)</f>
        <v>0.98302705552194025</v>
      </c>
      <c r="Q105" s="124">
        <f>_xlfn.EXPON.DIST(O105,0.254758419,TRUE)</f>
        <v>0.98980289621848416</v>
      </c>
      <c r="R105" s="55">
        <f t="shared" si="28"/>
        <v>6.7758406965439111E-3</v>
      </c>
      <c r="S105" s="55">
        <f t="shared" si="29"/>
        <v>1.1722204405020966</v>
      </c>
      <c r="T105" s="57">
        <f>M105-S105</f>
        <v>-0.17222044050209662</v>
      </c>
      <c r="U105" s="57">
        <f t="shared" si="30"/>
        <v>2.9659880126736201E-2</v>
      </c>
      <c r="V105" s="55">
        <f t="shared" si="31"/>
        <v>2.5302305864954886E-2</v>
      </c>
    </row>
    <row r="106" spans="1:23">
      <c r="A106" s="22">
        <v>0.7583333333333333</v>
      </c>
      <c r="B106" s="22">
        <v>0.7583333333333333</v>
      </c>
      <c r="C106" s="22">
        <v>0.76249999999999996</v>
      </c>
      <c r="D106" s="23" t="s">
        <v>48</v>
      </c>
      <c r="E106" s="23" t="s">
        <v>47</v>
      </c>
      <c r="F106" s="22">
        <f t="shared" si="19"/>
        <v>4.1666666666666519E-3</v>
      </c>
      <c r="G106" s="24">
        <f t="shared" si="20"/>
        <v>1092</v>
      </c>
      <c r="H106" s="22">
        <f t="shared" si="21"/>
        <v>4.1666666666666519E-3</v>
      </c>
      <c r="I106" s="176">
        <f>HOUR(H106)*60+MINUTE(H106)</f>
        <v>6</v>
      </c>
      <c r="J106" s="24">
        <f t="shared" si="22"/>
        <v>11</v>
      </c>
      <c r="L106" s="103"/>
      <c r="M106" s="103">
        <v>0</v>
      </c>
      <c r="N106" s="104"/>
      <c r="O106" s="104"/>
      <c r="P106" s="104"/>
      <c r="Q106" s="104"/>
      <c r="R106" s="104"/>
      <c r="S106" s="104"/>
      <c r="T106" s="104"/>
      <c r="U106" s="104"/>
      <c r="V106" s="105">
        <f>SUM(V97:V105)</f>
        <v>2.1041929703244726</v>
      </c>
    </row>
    <row r="107" spans="1:23">
      <c r="A107" s="19">
        <v>0.75902777777777775</v>
      </c>
      <c r="B107" s="19">
        <v>0.76041666666666663</v>
      </c>
      <c r="C107" s="19">
        <v>0.76597222222222228</v>
      </c>
      <c r="D107" s="20" t="s">
        <v>46</v>
      </c>
      <c r="E107" s="20" t="s">
        <v>47</v>
      </c>
      <c r="F107" s="19">
        <f t="shared" si="19"/>
        <v>5.5555555555556468E-3</v>
      </c>
      <c r="G107" s="21">
        <f t="shared" si="20"/>
        <v>1093</v>
      </c>
      <c r="H107" s="19">
        <f t="shared" si="21"/>
        <v>5.5555555555556468E-3</v>
      </c>
      <c r="I107" s="175">
        <f>HOUR(H107)*60+MINUTE(H107)</f>
        <v>8</v>
      </c>
      <c r="J107" s="21">
        <f t="shared" si="22"/>
        <v>1</v>
      </c>
      <c r="N107" s="28"/>
      <c r="O107" s="28"/>
      <c r="P107" s="28"/>
      <c r="Q107" s="28"/>
      <c r="R107" s="28"/>
      <c r="S107" s="28"/>
      <c r="T107" s="28"/>
      <c r="U107" s="28"/>
      <c r="V107" s="28"/>
      <c r="W107" s="28"/>
    </row>
    <row r="108" spans="1:23">
      <c r="A108" s="22">
        <v>0.76111111111111107</v>
      </c>
      <c r="B108" s="22">
        <v>0.76249999999999996</v>
      </c>
      <c r="C108" s="22">
        <v>0.76388888888888884</v>
      </c>
      <c r="D108" s="23" t="s">
        <v>48</v>
      </c>
      <c r="E108" s="23" t="s">
        <v>47</v>
      </c>
      <c r="F108" s="22">
        <f t="shared" si="19"/>
        <v>1.388888888888884E-3</v>
      </c>
      <c r="G108" s="24">
        <f t="shared" si="20"/>
        <v>1096</v>
      </c>
      <c r="H108" s="22">
        <f t="shared" si="21"/>
        <v>1.388888888888884E-3</v>
      </c>
      <c r="I108" s="176">
        <f>HOUR(H108)*60+MINUTE(H108)</f>
        <v>2</v>
      </c>
      <c r="J108" s="24">
        <f t="shared" si="22"/>
        <v>3</v>
      </c>
      <c r="L108" s="150" t="s">
        <v>37</v>
      </c>
      <c r="M108" s="151">
        <f>AVERAGE(I2:I175)</f>
        <v>3.9252873563218391</v>
      </c>
      <c r="N108" s="28"/>
      <c r="O108" s="28"/>
      <c r="P108" s="28"/>
      <c r="Q108" s="28"/>
      <c r="R108" s="28"/>
      <c r="S108" s="28"/>
      <c r="T108" s="28"/>
      <c r="U108" s="28"/>
      <c r="V108" s="28"/>
      <c r="W108" s="28"/>
    </row>
    <row r="109" spans="1:23">
      <c r="A109" s="22">
        <v>0.76527777777777772</v>
      </c>
      <c r="B109" s="22">
        <v>0.76527777777777772</v>
      </c>
      <c r="C109" s="22">
        <v>0.76666666666666672</v>
      </c>
      <c r="D109" s="23" t="s">
        <v>48</v>
      </c>
      <c r="E109" s="23" t="s">
        <v>47</v>
      </c>
      <c r="F109" s="22">
        <f t="shared" si="19"/>
        <v>1.388888888888995E-3</v>
      </c>
      <c r="G109" s="24">
        <f t="shared" si="20"/>
        <v>1102</v>
      </c>
      <c r="H109" s="22">
        <f t="shared" si="21"/>
        <v>1.388888888888995E-3</v>
      </c>
      <c r="I109" s="176">
        <f>HOUR(H109)*60+MINUTE(H109)</f>
        <v>2</v>
      </c>
      <c r="J109" s="24">
        <f t="shared" si="22"/>
        <v>6</v>
      </c>
      <c r="L109" s="152" t="s">
        <v>79</v>
      </c>
      <c r="M109" s="154">
        <f>1/M108</f>
        <v>0.2547584187408492</v>
      </c>
      <c r="O109" s="28"/>
      <c r="P109" s="28"/>
      <c r="Q109" s="28"/>
      <c r="R109" s="28"/>
      <c r="S109" s="28"/>
      <c r="T109" s="28"/>
      <c r="U109" s="28"/>
      <c r="V109" s="28"/>
      <c r="W109" s="28"/>
    </row>
    <row r="110" spans="1:23">
      <c r="A110" s="19">
        <v>0.76597222222222228</v>
      </c>
      <c r="B110" s="19">
        <v>0.76597222222222228</v>
      </c>
      <c r="C110" s="19">
        <v>0.76666666666666672</v>
      </c>
      <c r="D110" s="20" t="s">
        <v>46</v>
      </c>
      <c r="E110" s="20" t="s">
        <v>47</v>
      </c>
      <c r="F110" s="19">
        <f t="shared" si="19"/>
        <v>6.9444444444444198E-4</v>
      </c>
      <c r="G110" s="21">
        <f t="shared" si="20"/>
        <v>1103</v>
      </c>
      <c r="H110" s="19">
        <f t="shared" si="21"/>
        <v>6.9444444444444198E-4</v>
      </c>
      <c r="I110" s="175">
        <f>HOUR(H110)*60+MINUTE(H110)</f>
        <v>1</v>
      </c>
      <c r="J110" s="21">
        <f t="shared" si="22"/>
        <v>1</v>
      </c>
      <c r="L110" s="152" t="s">
        <v>81</v>
      </c>
      <c r="M110" s="154">
        <v>14.067</v>
      </c>
      <c r="O110" s="216" t="s">
        <v>43</v>
      </c>
      <c r="P110" s="217"/>
      <c r="Q110" s="217"/>
      <c r="R110" s="217"/>
      <c r="S110" s="217"/>
      <c r="T110" s="217"/>
      <c r="U110" s="217"/>
      <c r="V110" s="218"/>
      <c r="W110" s="28"/>
    </row>
    <row r="111" spans="1:23">
      <c r="A111" s="19">
        <v>0.76597222222222228</v>
      </c>
      <c r="B111" s="19">
        <v>0.76666666666666672</v>
      </c>
      <c r="C111" s="19">
        <v>0.76875000000000004</v>
      </c>
      <c r="D111" s="20" t="s">
        <v>46</v>
      </c>
      <c r="E111" s="20" t="s">
        <v>47</v>
      </c>
      <c r="F111" s="19">
        <f t="shared" si="19"/>
        <v>2.0833333333333259E-3</v>
      </c>
      <c r="G111" s="21">
        <f t="shared" si="20"/>
        <v>1103</v>
      </c>
      <c r="H111" s="19">
        <f t="shared" si="21"/>
        <v>2.0833333333333259E-3</v>
      </c>
      <c r="I111" s="175">
        <f>HOUR(H111)*60+MINUTE(H111)</f>
        <v>3</v>
      </c>
      <c r="J111" s="21">
        <f t="shared" si="22"/>
        <v>0</v>
      </c>
      <c r="L111" s="155" t="s">
        <v>82</v>
      </c>
      <c r="M111" s="156">
        <f>9-1-1</f>
        <v>7</v>
      </c>
      <c r="N111" s="28"/>
      <c r="O111" s="28"/>
      <c r="P111" s="28"/>
      <c r="Q111" s="28"/>
      <c r="R111" s="28"/>
      <c r="S111" s="28"/>
      <c r="T111" s="28"/>
      <c r="U111" s="28"/>
      <c r="V111" s="28"/>
      <c r="W111" s="28"/>
    </row>
    <row r="112" spans="1:23">
      <c r="A112" s="22">
        <v>0.76736111111111116</v>
      </c>
      <c r="B112" s="22">
        <v>0.76736111111111116</v>
      </c>
      <c r="C112" s="22">
        <v>0.76736111111111116</v>
      </c>
      <c r="D112" s="23" t="s">
        <v>48</v>
      </c>
      <c r="E112" s="23" t="s">
        <v>47</v>
      </c>
      <c r="F112" s="22">
        <f t="shared" si="19"/>
        <v>0</v>
      </c>
      <c r="G112" s="24">
        <f t="shared" si="20"/>
        <v>1105</v>
      </c>
      <c r="H112" s="22">
        <f t="shared" si="21"/>
        <v>0</v>
      </c>
      <c r="I112" s="176">
        <f>HOUR(H112)*60+MINUTE(H112)</f>
        <v>0</v>
      </c>
      <c r="J112" s="24">
        <f t="shared" si="22"/>
        <v>2</v>
      </c>
    </row>
    <row r="113" spans="1:10">
      <c r="A113" s="22">
        <v>0.7680555555555556</v>
      </c>
      <c r="B113" s="22">
        <v>0.7680555555555556</v>
      </c>
      <c r="C113" s="22">
        <v>0.76944444444444449</v>
      </c>
      <c r="D113" s="23" t="s">
        <v>48</v>
      </c>
      <c r="E113" s="23" t="s">
        <v>47</v>
      </c>
      <c r="F113" s="22">
        <f t="shared" si="19"/>
        <v>1.388888888888884E-3</v>
      </c>
      <c r="G113" s="24">
        <f t="shared" si="20"/>
        <v>1106</v>
      </c>
      <c r="H113" s="22">
        <f t="shared" si="21"/>
        <v>1.388888888888884E-3</v>
      </c>
      <c r="I113" s="176">
        <f>HOUR(H113)*60+MINUTE(H113)</f>
        <v>2</v>
      </c>
      <c r="J113" s="24">
        <f t="shared" si="22"/>
        <v>1</v>
      </c>
    </row>
    <row r="114" spans="1:10">
      <c r="A114" s="19">
        <v>0.77638888888888891</v>
      </c>
      <c r="B114" s="19">
        <v>0.77638888888888891</v>
      </c>
      <c r="C114" s="19">
        <v>0.77847222222222223</v>
      </c>
      <c r="D114" s="20" t="s">
        <v>46</v>
      </c>
      <c r="E114" s="20" t="s">
        <v>47</v>
      </c>
      <c r="F114" s="19">
        <f t="shared" si="19"/>
        <v>2.0833333333333259E-3</v>
      </c>
      <c r="G114" s="21">
        <f t="shared" si="20"/>
        <v>1118</v>
      </c>
      <c r="H114" s="19">
        <f t="shared" si="21"/>
        <v>2.0833333333333259E-3</v>
      </c>
      <c r="I114" s="175">
        <f>HOUR(H114)*60+MINUTE(H114)</f>
        <v>3</v>
      </c>
      <c r="J114" s="21">
        <f t="shared" si="22"/>
        <v>12</v>
      </c>
    </row>
    <row r="115" spans="1:10">
      <c r="A115" s="19">
        <v>0.78125</v>
      </c>
      <c r="B115" s="19">
        <v>0.78125</v>
      </c>
      <c r="C115" s="19">
        <v>0.78263888888888888</v>
      </c>
      <c r="D115" s="20" t="s">
        <v>46</v>
      </c>
      <c r="E115" s="20" t="s">
        <v>47</v>
      </c>
      <c r="F115" s="19">
        <f t="shared" si="19"/>
        <v>1.388888888888884E-3</v>
      </c>
      <c r="G115" s="21">
        <f t="shared" si="20"/>
        <v>1125</v>
      </c>
      <c r="H115" s="19">
        <f t="shared" si="21"/>
        <v>1.388888888888884E-3</v>
      </c>
      <c r="I115" s="175">
        <f>HOUR(H115)*60+MINUTE(H115)</f>
        <v>2</v>
      </c>
      <c r="J115" s="21">
        <f t="shared" si="22"/>
        <v>7</v>
      </c>
    </row>
    <row r="116" spans="1:10">
      <c r="A116" s="19">
        <v>0.78472222222222221</v>
      </c>
      <c r="B116" s="19">
        <v>0.78472222222222221</v>
      </c>
      <c r="C116" s="19">
        <v>0.78680555555555554</v>
      </c>
      <c r="D116" s="20" t="s">
        <v>46</v>
      </c>
      <c r="E116" s="20" t="s">
        <v>47</v>
      </c>
      <c r="F116" s="19">
        <f t="shared" si="19"/>
        <v>2.0833333333333259E-3</v>
      </c>
      <c r="G116" s="21">
        <f t="shared" si="20"/>
        <v>1130</v>
      </c>
      <c r="H116" s="19">
        <f t="shared" si="21"/>
        <v>2.0833333333333259E-3</v>
      </c>
      <c r="I116" s="175">
        <f>HOUR(H116)*60+MINUTE(H116)</f>
        <v>3</v>
      </c>
      <c r="J116" s="21">
        <f t="shared" si="22"/>
        <v>5</v>
      </c>
    </row>
    <row r="117" spans="1:10">
      <c r="A117" s="19">
        <v>0.79097222222222219</v>
      </c>
      <c r="B117" s="19">
        <v>0.79097222222222219</v>
      </c>
      <c r="C117" s="19">
        <v>0.79097222222222219</v>
      </c>
      <c r="D117" s="20" t="s">
        <v>46</v>
      </c>
      <c r="E117" s="20" t="s">
        <v>47</v>
      </c>
      <c r="F117" s="19">
        <f t="shared" si="19"/>
        <v>0</v>
      </c>
      <c r="G117" s="21">
        <f t="shared" si="20"/>
        <v>1139</v>
      </c>
      <c r="H117" s="19">
        <f t="shared" si="21"/>
        <v>0</v>
      </c>
      <c r="I117" s="175">
        <f>HOUR(H117)*60+MINUTE(H117)</f>
        <v>0</v>
      </c>
      <c r="J117" s="21">
        <f t="shared" si="22"/>
        <v>9</v>
      </c>
    </row>
    <row r="118" spans="1:10">
      <c r="A118" s="19">
        <v>0.79583333333333328</v>
      </c>
      <c r="B118" s="19">
        <v>0.79583333333333328</v>
      </c>
      <c r="C118" s="19">
        <v>0.79583333333333328</v>
      </c>
      <c r="D118" s="20" t="s">
        <v>46</v>
      </c>
      <c r="E118" s="20" t="s">
        <v>47</v>
      </c>
      <c r="F118" s="19">
        <f t="shared" si="19"/>
        <v>0</v>
      </c>
      <c r="G118" s="21">
        <f t="shared" si="20"/>
        <v>1146</v>
      </c>
      <c r="H118" s="19">
        <f t="shared" si="21"/>
        <v>0</v>
      </c>
      <c r="I118" s="175">
        <f>HOUR(H118)*60+MINUTE(H118)</f>
        <v>0</v>
      </c>
      <c r="J118" s="21">
        <f t="shared" si="22"/>
        <v>7</v>
      </c>
    </row>
    <row r="119" spans="1:10">
      <c r="A119" s="19">
        <v>0.79652777777777772</v>
      </c>
      <c r="B119" s="19">
        <v>0.79652777777777772</v>
      </c>
      <c r="C119" s="19">
        <v>0.80138888888888893</v>
      </c>
      <c r="D119" s="20" t="s">
        <v>46</v>
      </c>
      <c r="E119" s="20" t="s">
        <v>47</v>
      </c>
      <c r="F119" s="19">
        <f t="shared" si="19"/>
        <v>4.8611111111112049E-3</v>
      </c>
      <c r="G119" s="21">
        <f t="shared" si="20"/>
        <v>1147</v>
      </c>
      <c r="H119" s="19">
        <f t="shared" si="21"/>
        <v>4.8611111111112049E-3</v>
      </c>
      <c r="I119" s="175">
        <f>HOUR(H119)*60+MINUTE(H119)</f>
        <v>7</v>
      </c>
      <c r="J119" s="21">
        <f t="shared" si="22"/>
        <v>1</v>
      </c>
    </row>
    <row r="120" spans="1:10">
      <c r="A120" s="19">
        <v>0.80347222222222225</v>
      </c>
      <c r="B120" s="19">
        <v>0.80347222222222225</v>
      </c>
      <c r="C120" s="19">
        <v>0.80486111111111114</v>
      </c>
      <c r="D120" s="20" t="s">
        <v>46</v>
      </c>
      <c r="E120" s="20" t="s">
        <v>47</v>
      </c>
      <c r="F120" s="19">
        <f t="shared" si="19"/>
        <v>1.388888888888884E-3</v>
      </c>
      <c r="G120" s="21">
        <f t="shared" si="20"/>
        <v>1157</v>
      </c>
      <c r="H120" s="19">
        <f t="shared" si="21"/>
        <v>1.388888888888884E-3</v>
      </c>
      <c r="I120" s="175">
        <f>HOUR(H120)*60+MINUTE(H120)</f>
        <v>2</v>
      </c>
      <c r="J120" s="21">
        <f t="shared" si="22"/>
        <v>10</v>
      </c>
    </row>
    <row r="121" spans="1:10">
      <c r="A121" s="19">
        <v>0.80625000000000002</v>
      </c>
      <c r="B121" s="19">
        <v>0.80625000000000002</v>
      </c>
      <c r="C121" s="19">
        <v>0.80625000000000002</v>
      </c>
      <c r="D121" s="20" t="s">
        <v>46</v>
      </c>
      <c r="E121" s="20" t="s">
        <v>47</v>
      </c>
      <c r="F121" s="19">
        <f t="shared" si="19"/>
        <v>0</v>
      </c>
      <c r="G121" s="21">
        <f t="shared" si="20"/>
        <v>1161</v>
      </c>
      <c r="H121" s="19">
        <f t="shared" si="21"/>
        <v>0</v>
      </c>
      <c r="I121" s="175">
        <f>HOUR(H121)*60+MINUTE(H121)</f>
        <v>0</v>
      </c>
      <c r="J121" s="21">
        <f t="shared" si="22"/>
        <v>4</v>
      </c>
    </row>
    <row r="122" spans="1:10">
      <c r="A122" s="19">
        <v>0.81111111111111112</v>
      </c>
      <c r="B122" s="19">
        <v>0.81111111111111112</v>
      </c>
      <c r="C122" s="19">
        <v>0.81319444444444444</v>
      </c>
      <c r="D122" s="20" t="s">
        <v>46</v>
      </c>
      <c r="E122" s="20" t="s">
        <v>47</v>
      </c>
      <c r="F122" s="19">
        <f t="shared" si="19"/>
        <v>2.0833333333333259E-3</v>
      </c>
      <c r="G122" s="21">
        <f t="shared" si="20"/>
        <v>1168</v>
      </c>
      <c r="H122" s="19">
        <f t="shared" si="21"/>
        <v>2.0833333333333259E-3</v>
      </c>
      <c r="I122" s="175">
        <f>HOUR(H122)*60+MINUTE(H122)</f>
        <v>3</v>
      </c>
      <c r="J122" s="21">
        <f t="shared" si="22"/>
        <v>7</v>
      </c>
    </row>
    <row r="123" spans="1:10">
      <c r="A123" s="19">
        <v>0.81805555555555554</v>
      </c>
      <c r="B123" s="19">
        <v>0.81805555555555554</v>
      </c>
      <c r="C123" s="19">
        <v>0.82222222222222219</v>
      </c>
      <c r="D123" s="20" t="s">
        <v>46</v>
      </c>
      <c r="E123" s="20" t="s">
        <v>47</v>
      </c>
      <c r="F123" s="19">
        <f t="shared" si="19"/>
        <v>4.1666666666666519E-3</v>
      </c>
      <c r="G123" s="21">
        <f t="shared" si="20"/>
        <v>1178</v>
      </c>
      <c r="H123" s="19">
        <f t="shared" si="21"/>
        <v>4.1666666666666519E-3</v>
      </c>
      <c r="I123" s="175">
        <f>HOUR(H123)*60+MINUTE(H123)</f>
        <v>6</v>
      </c>
      <c r="J123" s="21">
        <f t="shared" si="22"/>
        <v>10</v>
      </c>
    </row>
    <row r="124" spans="1:10">
      <c r="A124" s="22">
        <v>0.81944444444444442</v>
      </c>
      <c r="B124" s="22">
        <v>0.81944444444444442</v>
      </c>
      <c r="C124" s="22">
        <v>0.82013888888888886</v>
      </c>
      <c r="D124" s="23" t="s">
        <v>48</v>
      </c>
      <c r="E124" s="23" t="s">
        <v>47</v>
      </c>
      <c r="F124" s="22">
        <f t="shared" si="19"/>
        <v>6.9444444444444198E-4</v>
      </c>
      <c r="G124" s="24">
        <f t="shared" si="20"/>
        <v>1180</v>
      </c>
      <c r="H124" s="22">
        <f t="shared" si="21"/>
        <v>6.9444444444444198E-4</v>
      </c>
      <c r="I124" s="176">
        <f>HOUR(H124)*60+MINUTE(H124)</f>
        <v>1</v>
      </c>
      <c r="J124" s="24">
        <f t="shared" si="22"/>
        <v>2</v>
      </c>
    </row>
    <row r="125" spans="1:10">
      <c r="A125" s="22">
        <v>0.82013888888888886</v>
      </c>
      <c r="B125" s="22">
        <v>0.82013888888888886</v>
      </c>
      <c r="C125" s="22">
        <v>0.82291666666666663</v>
      </c>
      <c r="D125" s="23" t="s">
        <v>48</v>
      </c>
      <c r="E125" s="23" t="s">
        <v>47</v>
      </c>
      <c r="F125" s="22">
        <f t="shared" si="19"/>
        <v>2.7777777777777679E-3</v>
      </c>
      <c r="G125" s="24">
        <f t="shared" si="20"/>
        <v>1181</v>
      </c>
      <c r="H125" s="22">
        <f t="shared" si="21"/>
        <v>2.7777777777777679E-3</v>
      </c>
      <c r="I125" s="176">
        <f>HOUR(H125)*60+MINUTE(H125)</f>
        <v>4</v>
      </c>
      <c r="J125" s="24">
        <f t="shared" si="22"/>
        <v>1</v>
      </c>
    </row>
    <row r="126" spans="1:10">
      <c r="A126" s="19">
        <v>0.8208333333333333</v>
      </c>
      <c r="B126" s="19">
        <v>0.82222222222222219</v>
      </c>
      <c r="C126" s="19">
        <v>0.82291666666666663</v>
      </c>
      <c r="D126" s="20" t="s">
        <v>46</v>
      </c>
      <c r="E126" s="20" t="s">
        <v>47</v>
      </c>
      <c r="F126" s="19">
        <f t="shared" si="19"/>
        <v>6.9444444444444198E-4</v>
      </c>
      <c r="G126" s="21">
        <f t="shared" si="20"/>
        <v>1182</v>
      </c>
      <c r="H126" s="19">
        <f t="shared" si="21"/>
        <v>6.9444444444444198E-4</v>
      </c>
      <c r="I126" s="175">
        <f>HOUR(H126)*60+MINUTE(H126)</f>
        <v>1</v>
      </c>
      <c r="J126" s="21">
        <f t="shared" si="22"/>
        <v>1</v>
      </c>
    </row>
    <row r="127" spans="1:10">
      <c r="A127" s="19">
        <v>0.82222222222222219</v>
      </c>
      <c r="B127" s="19">
        <v>0.82291666666666663</v>
      </c>
      <c r="C127" s="19">
        <v>0.82291666666666663</v>
      </c>
      <c r="D127" s="20" t="s">
        <v>46</v>
      </c>
      <c r="E127" s="20" t="s">
        <v>47</v>
      </c>
      <c r="F127" s="19">
        <f t="shared" si="19"/>
        <v>0</v>
      </c>
      <c r="G127" s="21">
        <f t="shared" si="20"/>
        <v>1184</v>
      </c>
      <c r="H127" s="19">
        <f t="shared" si="21"/>
        <v>0</v>
      </c>
      <c r="I127" s="175">
        <f>HOUR(H127)*60+MINUTE(H127)</f>
        <v>0</v>
      </c>
      <c r="J127" s="21">
        <f t="shared" si="22"/>
        <v>2</v>
      </c>
    </row>
    <row r="128" spans="1:10">
      <c r="A128" s="19">
        <v>0.82777777777777772</v>
      </c>
      <c r="B128" s="19">
        <v>0.82777777777777772</v>
      </c>
      <c r="C128" s="19">
        <v>0.82986111111111116</v>
      </c>
      <c r="D128" s="20" t="s">
        <v>46</v>
      </c>
      <c r="E128" s="20" t="s">
        <v>47</v>
      </c>
      <c r="F128" s="19">
        <f t="shared" si="19"/>
        <v>2.083333333333437E-3</v>
      </c>
      <c r="G128" s="21">
        <f t="shared" si="20"/>
        <v>1192</v>
      </c>
      <c r="H128" s="19">
        <f t="shared" si="21"/>
        <v>2.083333333333437E-3</v>
      </c>
      <c r="I128" s="175">
        <f>HOUR(H128)*60+MINUTE(H128)</f>
        <v>3</v>
      </c>
      <c r="J128" s="21">
        <f t="shared" si="22"/>
        <v>8</v>
      </c>
    </row>
    <row r="129" spans="1:10">
      <c r="A129" s="19">
        <v>0.83402777777777781</v>
      </c>
      <c r="B129" s="19">
        <v>0.83402777777777781</v>
      </c>
      <c r="C129" s="19">
        <v>0.83611111111111114</v>
      </c>
      <c r="D129" s="20" t="s">
        <v>46</v>
      </c>
      <c r="E129" s="20" t="s">
        <v>47</v>
      </c>
      <c r="F129" s="19">
        <f t="shared" si="19"/>
        <v>2.0833333333333259E-3</v>
      </c>
      <c r="G129" s="21">
        <f t="shared" si="20"/>
        <v>1201</v>
      </c>
      <c r="H129" s="19">
        <f t="shared" si="21"/>
        <v>2.0833333333333259E-3</v>
      </c>
      <c r="I129" s="175">
        <f>HOUR(H129)*60+MINUTE(H129)</f>
        <v>3</v>
      </c>
      <c r="J129" s="21">
        <f t="shared" si="22"/>
        <v>9</v>
      </c>
    </row>
    <row r="130" spans="1:10">
      <c r="A130" s="22">
        <v>0.83402777777777781</v>
      </c>
      <c r="B130" s="22">
        <v>0.83402777777777781</v>
      </c>
      <c r="C130" s="22">
        <v>0.83680555555555558</v>
      </c>
      <c r="D130" s="23" t="s">
        <v>48</v>
      </c>
      <c r="E130" s="23" t="s">
        <v>47</v>
      </c>
      <c r="F130" s="22">
        <f t="shared" si="19"/>
        <v>2.7777777777777679E-3</v>
      </c>
      <c r="G130" s="24">
        <f t="shared" si="20"/>
        <v>1201</v>
      </c>
      <c r="H130" s="22">
        <f t="shared" si="21"/>
        <v>2.7777777777777679E-3</v>
      </c>
      <c r="I130" s="176">
        <f>HOUR(H130)*60+MINUTE(H130)</f>
        <v>4</v>
      </c>
      <c r="J130" s="24">
        <f t="shared" si="22"/>
        <v>0</v>
      </c>
    </row>
    <row r="131" spans="1:10">
      <c r="A131" s="19">
        <v>0.83611111111111114</v>
      </c>
      <c r="B131" s="19">
        <v>0.83611111111111114</v>
      </c>
      <c r="C131" s="19">
        <v>0.83958333333333335</v>
      </c>
      <c r="D131" s="20" t="s">
        <v>46</v>
      </c>
      <c r="E131" s="20" t="s">
        <v>47</v>
      </c>
      <c r="F131" s="19">
        <f t="shared" ref="F131:F175" si="32">C131-B131</f>
        <v>3.4722222222222099E-3</v>
      </c>
      <c r="G131" s="21">
        <f t="shared" ref="G131:G175" si="33">HOUR(A131)*60+MINUTE(A131)</f>
        <v>1204</v>
      </c>
      <c r="H131" s="19">
        <f t="shared" ref="H131:H175" si="34">C131-B131</f>
        <v>3.4722222222222099E-3</v>
      </c>
      <c r="I131" s="175">
        <f>HOUR(H131)*60+MINUTE(H131)</f>
        <v>5</v>
      </c>
      <c r="J131" s="21">
        <f t="shared" si="22"/>
        <v>3</v>
      </c>
    </row>
    <row r="132" spans="1:10">
      <c r="A132" s="22">
        <v>0.83750000000000002</v>
      </c>
      <c r="B132" s="22">
        <v>0.83750000000000002</v>
      </c>
      <c r="C132" s="22">
        <v>0.84791666666666665</v>
      </c>
      <c r="D132" s="23" t="s">
        <v>48</v>
      </c>
      <c r="E132" s="23" t="s">
        <v>47</v>
      </c>
      <c r="F132" s="22">
        <f t="shared" si="32"/>
        <v>1.041666666666663E-2</v>
      </c>
      <c r="G132" s="24">
        <f t="shared" si="33"/>
        <v>1206</v>
      </c>
      <c r="H132" s="22">
        <f t="shared" si="34"/>
        <v>1.041666666666663E-2</v>
      </c>
      <c r="I132" s="176">
        <f>HOUR(H132)*60+MINUTE(H132)</f>
        <v>15</v>
      </c>
      <c r="J132" s="24">
        <f t="shared" ref="J132:J174" si="35">G132-G131</f>
        <v>2</v>
      </c>
    </row>
    <row r="133" spans="1:10">
      <c r="A133" s="19">
        <v>0.83888888888888891</v>
      </c>
      <c r="B133" s="19">
        <v>0.83958333333333335</v>
      </c>
      <c r="C133" s="19">
        <v>0.84166666666666667</v>
      </c>
      <c r="D133" s="20" t="s">
        <v>46</v>
      </c>
      <c r="E133" s="20" t="s">
        <v>47</v>
      </c>
      <c r="F133" s="19">
        <f t="shared" si="32"/>
        <v>2.0833333333333259E-3</v>
      </c>
      <c r="G133" s="21">
        <f t="shared" si="33"/>
        <v>1208</v>
      </c>
      <c r="H133" s="19">
        <f t="shared" si="34"/>
        <v>2.0833333333333259E-3</v>
      </c>
      <c r="I133" s="175">
        <f>HOUR(H133)*60+MINUTE(H133)</f>
        <v>3</v>
      </c>
      <c r="J133" s="21">
        <f t="shared" si="35"/>
        <v>2</v>
      </c>
    </row>
    <row r="134" spans="1:10">
      <c r="A134" s="19">
        <v>0.83888888888888891</v>
      </c>
      <c r="B134" s="19">
        <v>0.84166666666666667</v>
      </c>
      <c r="C134" s="19">
        <v>0.84305555555555556</v>
      </c>
      <c r="D134" s="20" t="s">
        <v>46</v>
      </c>
      <c r="E134" s="20" t="s">
        <v>47</v>
      </c>
      <c r="F134" s="19">
        <f t="shared" si="32"/>
        <v>1.388888888888884E-3</v>
      </c>
      <c r="G134" s="21">
        <f t="shared" si="33"/>
        <v>1208</v>
      </c>
      <c r="H134" s="19">
        <f t="shared" si="34"/>
        <v>1.388888888888884E-3</v>
      </c>
      <c r="I134" s="175">
        <f>HOUR(H134)*60+MINUTE(H134)</f>
        <v>2</v>
      </c>
      <c r="J134" s="21">
        <f t="shared" si="35"/>
        <v>0</v>
      </c>
    </row>
    <row r="135" spans="1:10">
      <c r="A135" s="19">
        <v>0.84027777777777779</v>
      </c>
      <c r="B135" s="19">
        <v>0.84305555555555556</v>
      </c>
      <c r="C135" s="19">
        <v>0.84722222222222221</v>
      </c>
      <c r="D135" s="20" t="s">
        <v>46</v>
      </c>
      <c r="E135" s="20" t="s">
        <v>47</v>
      </c>
      <c r="F135" s="19">
        <f t="shared" si="32"/>
        <v>4.1666666666666519E-3</v>
      </c>
      <c r="G135" s="21">
        <f t="shared" si="33"/>
        <v>1210</v>
      </c>
      <c r="H135" s="19">
        <f t="shared" si="34"/>
        <v>4.1666666666666519E-3</v>
      </c>
      <c r="I135" s="175">
        <f>HOUR(H135)*60+MINUTE(H135)</f>
        <v>6</v>
      </c>
      <c r="J135" s="21">
        <f t="shared" si="35"/>
        <v>2</v>
      </c>
    </row>
    <row r="136" spans="1:10">
      <c r="A136" s="19">
        <v>0.84930555555555554</v>
      </c>
      <c r="B136" s="19">
        <v>0.84930555555555554</v>
      </c>
      <c r="C136" s="19">
        <v>0.85</v>
      </c>
      <c r="D136" s="20" t="s">
        <v>46</v>
      </c>
      <c r="E136" s="20" t="s">
        <v>47</v>
      </c>
      <c r="F136" s="19">
        <f t="shared" si="32"/>
        <v>6.9444444444444198E-4</v>
      </c>
      <c r="G136" s="21">
        <f t="shared" si="33"/>
        <v>1223</v>
      </c>
      <c r="H136" s="19">
        <f t="shared" si="34"/>
        <v>6.9444444444444198E-4</v>
      </c>
      <c r="I136" s="175">
        <f>HOUR(H136)*60+MINUTE(H136)</f>
        <v>1</v>
      </c>
      <c r="J136" s="21">
        <f t="shared" si="35"/>
        <v>13</v>
      </c>
    </row>
    <row r="137" spans="1:10">
      <c r="A137" s="19">
        <v>0.85069444444444442</v>
      </c>
      <c r="B137" s="19">
        <v>0.85069444444444442</v>
      </c>
      <c r="C137" s="19">
        <v>0.8520833333333333</v>
      </c>
      <c r="D137" s="20" t="s">
        <v>46</v>
      </c>
      <c r="E137" s="20" t="s">
        <v>47</v>
      </c>
      <c r="F137" s="19">
        <f t="shared" si="32"/>
        <v>1.388888888888884E-3</v>
      </c>
      <c r="G137" s="21">
        <f t="shared" si="33"/>
        <v>1225</v>
      </c>
      <c r="H137" s="19">
        <f t="shared" si="34"/>
        <v>1.388888888888884E-3</v>
      </c>
      <c r="I137" s="175">
        <f>HOUR(H137)*60+MINUTE(H137)</f>
        <v>2</v>
      </c>
      <c r="J137" s="21">
        <f t="shared" si="35"/>
        <v>2</v>
      </c>
    </row>
    <row r="138" spans="1:10">
      <c r="A138" s="19">
        <v>0.85277777777777775</v>
      </c>
      <c r="B138" s="19">
        <v>0.85277777777777775</v>
      </c>
      <c r="C138" s="19">
        <v>0.85277777777777775</v>
      </c>
      <c r="D138" s="20" t="s">
        <v>46</v>
      </c>
      <c r="E138" s="20" t="s">
        <v>47</v>
      </c>
      <c r="F138" s="19">
        <f t="shared" si="32"/>
        <v>0</v>
      </c>
      <c r="G138" s="21">
        <f t="shared" si="33"/>
        <v>1228</v>
      </c>
      <c r="H138" s="19">
        <f t="shared" si="34"/>
        <v>0</v>
      </c>
      <c r="I138" s="175">
        <f>HOUR(H138)*60+MINUTE(H138)</f>
        <v>0</v>
      </c>
      <c r="J138" s="21">
        <f t="shared" si="35"/>
        <v>3</v>
      </c>
    </row>
    <row r="139" spans="1:10">
      <c r="A139" s="19">
        <v>0.85624999999999996</v>
      </c>
      <c r="B139" s="19">
        <v>0.85624999999999996</v>
      </c>
      <c r="C139" s="19">
        <v>0.8569444444444444</v>
      </c>
      <c r="D139" s="20" t="s">
        <v>46</v>
      </c>
      <c r="E139" s="20" t="s">
        <v>47</v>
      </c>
      <c r="F139" s="19">
        <f t="shared" si="32"/>
        <v>6.9444444444444198E-4</v>
      </c>
      <c r="G139" s="21">
        <f t="shared" si="33"/>
        <v>1233</v>
      </c>
      <c r="H139" s="19">
        <f t="shared" si="34"/>
        <v>6.9444444444444198E-4</v>
      </c>
      <c r="I139" s="175">
        <f>HOUR(H139)*60+MINUTE(H139)</f>
        <v>1</v>
      </c>
      <c r="J139" s="21">
        <f t="shared" si="35"/>
        <v>5</v>
      </c>
    </row>
    <row r="140" spans="1:10">
      <c r="A140" s="19">
        <v>0.85763888888888884</v>
      </c>
      <c r="B140" s="19">
        <v>0.85763888888888884</v>
      </c>
      <c r="C140" s="19">
        <v>0.86736111111111114</v>
      </c>
      <c r="D140" s="20" t="s">
        <v>46</v>
      </c>
      <c r="E140" s="20" t="s">
        <v>47</v>
      </c>
      <c r="F140" s="19">
        <f t="shared" si="32"/>
        <v>9.7222222222222987E-3</v>
      </c>
      <c r="G140" s="21">
        <f t="shared" si="33"/>
        <v>1235</v>
      </c>
      <c r="H140" s="19">
        <f t="shared" si="34"/>
        <v>9.7222222222222987E-3</v>
      </c>
      <c r="I140" s="175">
        <f>HOUR(H140)*60+MINUTE(H140)</f>
        <v>14</v>
      </c>
      <c r="J140" s="21">
        <f t="shared" si="35"/>
        <v>2</v>
      </c>
    </row>
    <row r="141" spans="1:10">
      <c r="A141" s="19">
        <v>0.86875000000000002</v>
      </c>
      <c r="B141" s="19">
        <v>0.86875000000000002</v>
      </c>
      <c r="C141" s="19">
        <v>0.87430555555555556</v>
      </c>
      <c r="D141" s="20" t="s">
        <v>46</v>
      </c>
      <c r="E141" s="20" t="s">
        <v>47</v>
      </c>
      <c r="F141" s="19">
        <f t="shared" si="32"/>
        <v>5.5555555555555358E-3</v>
      </c>
      <c r="G141" s="21">
        <f t="shared" si="33"/>
        <v>1251</v>
      </c>
      <c r="H141" s="19">
        <f t="shared" si="34"/>
        <v>5.5555555555555358E-3</v>
      </c>
      <c r="I141" s="175">
        <f>HOUR(H141)*60+MINUTE(H141)</f>
        <v>8</v>
      </c>
      <c r="J141" s="21">
        <f t="shared" si="35"/>
        <v>16</v>
      </c>
    </row>
    <row r="142" spans="1:10">
      <c r="A142" s="19">
        <v>0.87916666666666665</v>
      </c>
      <c r="B142" s="19">
        <v>0.87916666666666665</v>
      </c>
      <c r="C142" s="19">
        <v>0.88263888888888886</v>
      </c>
      <c r="D142" s="20" t="s">
        <v>46</v>
      </c>
      <c r="E142" s="20" t="s">
        <v>47</v>
      </c>
      <c r="F142" s="19">
        <f t="shared" si="32"/>
        <v>3.4722222222222099E-3</v>
      </c>
      <c r="G142" s="21">
        <f t="shared" si="33"/>
        <v>1266</v>
      </c>
      <c r="H142" s="19">
        <f t="shared" si="34"/>
        <v>3.4722222222222099E-3</v>
      </c>
      <c r="I142" s="175">
        <f>HOUR(H142)*60+MINUTE(H142)</f>
        <v>5</v>
      </c>
      <c r="J142" s="21">
        <f t="shared" si="35"/>
        <v>15</v>
      </c>
    </row>
    <row r="143" spans="1:10">
      <c r="A143" s="22">
        <v>0.88055555555555554</v>
      </c>
      <c r="B143" s="22">
        <v>0.88055555555555554</v>
      </c>
      <c r="C143" s="22">
        <v>0.88194444444444442</v>
      </c>
      <c r="D143" s="23" t="s">
        <v>48</v>
      </c>
      <c r="E143" s="23" t="s">
        <v>47</v>
      </c>
      <c r="F143" s="22">
        <f t="shared" si="32"/>
        <v>1.388888888888884E-3</v>
      </c>
      <c r="G143" s="24">
        <f t="shared" si="33"/>
        <v>1268</v>
      </c>
      <c r="H143" s="22">
        <f t="shared" si="34"/>
        <v>1.388888888888884E-3</v>
      </c>
      <c r="I143" s="176">
        <f>HOUR(H143)*60+MINUTE(H143)</f>
        <v>2</v>
      </c>
      <c r="J143" s="24">
        <f t="shared" si="35"/>
        <v>2</v>
      </c>
    </row>
    <row r="144" spans="1:10">
      <c r="A144" s="22">
        <v>0.88263888888888886</v>
      </c>
      <c r="B144" s="22">
        <v>0.88263888888888886</v>
      </c>
      <c r="C144" s="22">
        <v>0.88263888888888886</v>
      </c>
      <c r="D144" s="23" t="s">
        <v>48</v>
      </c>
      <c r="E144" s="23" t="s">
        <v>47</v>
      </c>
      <c r="F144" s="22">
        <f t="shared" si="32"/>
        <v>0</v>
      </c>
      <c r="G144" s="24">
        <f t="shared" si="33"/>
        <v>1271</v>
      </c>
      <c r="H144" s="22">
        <f t="shared" si="34"/>
        <v>0</v>
      </c>
      <c r="I144" s="176">
        <f>HOUR(H144)*60+MINUTE(H144)</f>
        <v>0</v>
      </c>
      <c r="J144" s="24">
        <f t="shared" si="35"/>
        <v>3</v>
      </c>
    </row>
    <row r="145" spans="1:10">
      <c r="A145" s="19">
        <v>0.8833333333333333</v>
      </c>
      <c r="B145" s="19">
        <v>0.8833333333333333</v>
      </c>
      <c r="C145" s="19">
        <v>0.88402777777777775</v>
      </c>
      <c r="D145" s="20" t="s">
        <v>46</v>
      </c>
      <c r="E145" s="20" t="s">
        <v>47</v>
      </c>
      <c r="F145" s="19">
        <f t="shared" si="32"/>
        <v>6.9444444444444198E-4</v>
      </c>
      <c r="G145" s="21">
        <f t="shared" si="33"/>
        <v>1272</v>
      </c>
      <c r="H145" s="19">
        <f t="shared" si="34"/>
        <v>6.9444444444444198E-4</v>
      </c>
      <c r="I145" s="175">
        <f>HOUR(H145)*60+MINUTE(H145)</f>
        <v>1</v>
      </c>
      <c r="J145" s="21">
        <f t="shared" si="35"/>
        <v>1</v>
      </c>
    </row>
    <row r="146" spans="1:10">
      <c r="A146" s="19">
        <v>0.88472222222222219</v>
      </c>
      <c r="B146" s="19">
        <v>0.88472222222222219</v>
      </c>
      <c r="C146" s="19">
        <v>0.88541666666666663</v>
      </c>
      <c r="D146" s="20" t="s">
        <v>46</v>
      </c>
      <c r="E146" s="20" t="s">
        <v>47</v>
      </c>
      <c r="F146" s="19">
        <f t="shared" si="32"/>
        <v>6.9444444444444198E-4</v>
      </c>
      <c r="G146" s="21">
        <f t="shared" si="33"/>
        <v>1274</v>
      </c>
      <c r="H146" s="19">
        <f t="shared" si="34"/>
        <v>6.9444444444444198E-4</v>
      </c>
      <c r="I146" s="175">
        <f>HOUR(H146)*60+MINUTE(H146)</f>
        <v>1</v>
      </c>
      <c r="J146" s="21">
        <f t="shared" si="35"/>
        <v>2</v>
      </c>
    </row>
    <row r="147" spans="1:10">
      <c r="A147" s="22">
        <v>0.88472222222222219</v>
      </c>
      <c r="B147" s="22">
        <v>0.88472222222222219</v>
      </c>
      <c r="C147" s="22">
        <v>0.88680555555555551</v>
      </c>
      <c r="D147" s="23" t="s">
        <v>48</v>
      </c>
      <c r="E147" s="23" t="s">
        <v>47</v>
      </c>
      <c r="F147" s="22">
        <f t="shared" si="32"/>
        <v>2.0833333333333259E-3</v>
      </c>
      <c r="G147" s="24">
        <f t="shared" si="33"/>
        <v>1274</v>
      </c>
      <c r="H147" s="22">
        <f t="shared" si="34"/>
        <v>2.0833333333333259E-3</v>
      </c>
      <c r="I147" s="176">
        <f>HOUR(H147)*60+MINUTE(H147)</f>
        <v>3</v>
      </c>
      <c r="J147" s="24">
        <f t="shared" si="35"/>
        <v>0</v>
      </c>
    </row>
    <row r="148" spans="1:10">
      <c r="A148" s="19">
        <v>0.88749999999999996</v>
      </c>
      <c r="B148" s="19">
        <v>0.88749999999999996</v>
      </c>
      <c r="C148" s="19">
        <v>0.89097222222222228</v>
      </c>
      <c r="D148" s="20" t="s">
        <v>46</v>
      </c>
      <c r="E148" s="20" t="s">
        <v>47</v>
      </c>
      <c r="F148" s="19">
        <f t="shared" si="32"/>
        <v>3.4722222222223209E-3</v>
      </c>
      <c r="G148" s="21">
        <f t="shared" si="33"/>
        <v>1278</v>
      </c>
      <c r="H148" s="19">
        <f t="shared" si="34"/>
        <v>3.4722222222223209E-3</v>
      </c>
      <c r="I148" s="175">
        <f>HOUR(H148)*60+MINUTE(H148)</f>
        <v>5</v>
      </c>
      <c r="J148" s="21">
        <f t="shared" si="35"/>
        <v>4</v>
      </c>
    </row>
    <row r="149" spans="1:10">
      <c r="A149" s="22">
        <v>0.88958333333333328</v>
      </c>
      <c r="B149" s="22">
        <v>0.88958333333333328</v>
      </c>
      <c r="C149" s="22">
        <v>0.8930555555555556</v>
      </c>
      <c r="D149" s="23" t="s">
        <v>48</v>
      </c>
      <c r="E149" s="23" t="s">
        <v>47</v>
      </c>
      <c r="F149" s="22">
        <f t="shared" si="32"/>
        <v>3.4722222222223209E-3</v>
      </c>
      <c r="G149" s="24">
        <f t="shared" si="33"/>
        <v>1281</v>
      </c>
      <c r="H149" s="22">
        <f t="shared" si="34"/>
        <v>3.4722222222223209E-3</v>
      </c>
      <c r="I149" s="176">
        <f>HOUR(H149)*60+MINUTE(H149)</f>
        <v>5</v>
      </c>
      <c r="J149" s="24">
        <f t="shared" si="35"/>
        <v>3</v>
      </c>
    </row>
    <row r="150" spans="1:10">
      <c r="A150" s="19">
        <v>0.89027777777777772</v>
      </c>
      <c r="B150" s="19">
        <v>0.89097222222222228</v>
      </c>
      <c r="C150" s="19">
        <v>0.89236111111111116</v>
      </c>
      <c r="D150" s="20" t="s">
        <v>46</v>
      </c>
      <c r="E150" s="20" t="s">
        <v>47</v>
      </c>
      <c r="F150" s="19">
        <f t="shared" si="32"/>
        <v>1.388888888888884E-3</v>
      </c>
      <c r="G150" s="21">
        <f t="shared" si="33"/>
        <v>1282</v>
      </c>
      <c r="H150" s="19">
        <f t="shared" si="34"/>
        <v>1.388888888888884E-3</v>
      </c>
      <c r="I150" s="175">
        <f>HOUR(H150)*60+MINUTE(H150)</f>
        <v>2</v>
      </c>
      <c r="J150" s="21">
        <f t="shared" si="35"/>
        <v>1</v>
      </c>
    </row>
    <row r="151" spans="1:10">
      <c r="A151" s="19">
        <v>0.89097222222222228</v>
      </c>
      <c r="B151" s="19">
        <v>0.89236111111111116</v>
      </c>
      <c r="C151" s="19">
        <v>0.90069444444444446</v>
      </c>
      <c r="D151" s="20" t="s">
        <v>46</v>
      </c>
      <c r="E151" s="20" t="s">
        <v>47</v>
      </c>
      <c r="F151" s="19">
        <f t="shared" si="32"/>
        <v>8.3333333333333037E-3</v>
      </c>
      <c r="G151" s="21">
        <f t="shared" si="33"/>
        <v>1283</v>
      </c>
      <c r="H151" s="19">
        <f t="shared" si="34"/>
        <v>8.3333333333333037E-3</v>
      </c>
      <c r="I151" s="175">
        <f>HOUR(H151)*60+MINUTE(H151)</f>
        <v>12</v>
      </c>
      <c r="J151" s="21">
        <f t="shared" si="35"/>
        <v>1</v>
      </c>
    </row>
    <row r="152" spans="1:10">
      <c r="A152" s="22">
        <v>0.89861111111111114</v>
      </c>
      <c r="B152" s="22">
        <v>0.89861111111111114</v>
      </c>
      <c r="C152" s="22">
        <v>0.90208333333333335</v>
      </c>
      <c r="D152" s="23" t="s">
        <v>48</v>
      </c>
      <c r="E152" s="23" t="s">
        <v>47</v>
      </c>
      <c r="F152" s="22">
        <f t="shared" si="32"/>
        <v>3.4722222222222099E-3</v>
      </c>
      <c r="G152" s="24">
        <f t="shared" si="33"/>
        <v>1294</v>
      </c>
      <c r="H152" s="22">
        <f t="shared" si="34"/>
        <v>3.4722222222222099E-3</v>
      </c>
      <c r="I152" s="176">
        <f>HOUR(H152)*60+MINUTE(H152)</f>
        <v>5</v>
      </c>
      <c r="J152" s="24">
        <f t="shared" si="35"/>
        <v>11</v>
      </c>
    </row>
    <row r="153" spans="1:10">
      <c r="A153" s="19">
        <v>0.89930555555555558</v>
      </c>
      <c r="B153" s="19">
        <v>0.90069444444444446</v>
      </c>
      <c r="C153" s="19">
        <v>0.90277777777777779</v>
      </c>
      <c r="D153" s="20" t="s">
        <v>46</v>
      </c>
      <c r="E153" s="20" t="s">
        <v>47</v>
      </c>
      <c r="F153" s="19">
        <f t="shared" si="32"/>
        <v>2.0833333333333259E-3</v>
      </c>
      <c r="G153" s="21">
        <f t="shared" si="33"/>
        <v>1295</v>
      </c>
      <c r="H153" s="19">
        <f t="shared" si="34"/>
        <v>2.0833333333333259E-3</v>
      </c>
      <c r="I153" s="175">
        <f>HOUR(H153)*60+MINUTE(H153)</f>
        <v>3</v>
      </c>
      <c r="J153" s="21">
        <f t="shared" si="35"/>
        <v>1</v>
      </c>
    </row>
    <row r="154" spans="1:10">
      <c r="A154" s="22">
        <v>0.9</v>
      </c>
      <c r="B154" s="22">
        <v>0.90208333333333335</v>
      </c>
      <c r="C154" s="22">
        <v>0.90486111111111112</v>
      </c>
      <c r="D154" s="23" t="s">
        <v>48</v>
      </c>
      <c r="E154" s="23" t="s">
        <v>47</v>
      </c>
      <c r="F154" s="22">
        <f t="shared" si="32"/>
        <v>2.7777777777777679E-3</v>
      </c>
      <c r="G154" s="24">
        <f t="shared" si="33"/>
        <v>1296</v>
      </c>
      <c r="H154" s="22">
        <f t="shared" si="34"/>
        <v>2.7777777777777679E-3</v>
      </c>
      <c r="I154" s="176">
        <f>HOUR(H154)*60+MINUTE(H154)</f>
        <v>4</v>
      </c>
      <c r="J154" s="24">
        <f t="shared" si="35"/>
        <v>1</v>
      </c>
    </row>
    <row r="155" spans="1:10">
      <c r="A155" s="19">
        <v>0.90208333333333335</v>
      </c>
      <c r="B155" s="19">
        <v>0.90277777777777779</v>
      </c>
      <c r="C155" s="19">
        <v>0.90416666666666667</v>
      </c>
      <c r="D155" s="20" t="s">
        <v>46</v>
      </c>
      <c r="E155" s="20" t="s">
        <v>47</v>
      </c>
      <c r="F155" s="19">
        <f t="shared" si="32"/>
        <v>1.388888888888884E-3</v>
      </c>
      <c r="G155" s="21">
        <f t="shared" si="33"/>
        <v>1299</v>
      </c>
      <c r="H155" s="19">
        <f t="shared" si="34"/>
        <v>1.388888888888884E-3</v>
      </c>
      <c r="I155" s="175">
        <f>HOUR(H155)*60+MINUTE(H155)</f>
        <v>2</v>
      </c>
      <c r="J155" s="21">
        <f t="shared" si="35"/>
        <v>3</v>
      </c>
    </row>
    <row r="156" spans="1:10">
      <c r="A156" s="19">
        <v>0.91527777777777775</v>
      </c>
      <c r="B156" s="19">
        <v>0.91527777777777775</v>
      </c>
      <c r="C156" s="19">
        <v>0.91597222222222219</v>
      </c>
      <c r="D156" s="20" t="s">
        <v>46</v>
      </c>
      <c r="E156" s="20" t="s">
        <v>47</v>
      </c>
      <c r="F156" s="19">
        <f t="shared" si="32"/>
        <v>6.9444444444444198E-4</v>
      </c>
      <c r="G156" s="21">
        <f t="shared" si="33"/>
        <v>1318</v>
      </c>
      <c r="H156" s="19">
        <f t="shared" si="34"/>
        <v>6.9444444444444198E-4</v>
      </c>
      <c r="I156" s="175">
        <f>HOUR(H156)*60+MINUTE(H156)</f>
        <v>1</v>
      </c>
      <c r="J156" s="21">
        <f t="shared" si="35"/>
        <v>19</v>
      </c>
    </row>
    <row r="157" spans="1:10">
      <c r="A157" s="19">
        <v>0.91597222222222219</v>
      </c>
      <c r="B157" s="19">
        <v>0.91597222222222219</v>
      </c>
      <c r="C157" s="19">
        <v>0.91736111111111107</v>
      </c>
      <c r="D157" s="20" t="s">
        <v>46</v>
      </c>
      <c r="E157" s="20" t="s">
        <v>47</v>
      </c>
      <c r="F157" s="19">
        <f t="shared" si="32"/>
        <v>1.388888888888884E-3</v>
      </c>
      <c r="G157" s="21">
        <f t="shared" si="33"/>
        <v>1319</v>
      </c>
      <c r="H157" s="19">
        <f t="shared" si="34"/>
        <v>1.388888888888884E-3</v>
      </c>
      <c r="I157" s="175">
        <f>HOUR(H157)*60+MINUTE(H157)</f>
        <v>2</v>
      </c>
      <c r="J157" s="21">
        <f t="shared" si="35"/>
        <v>1</v>
      </c>
    </row>
    <row r="158" spans="1:10">
      <c r="A158" s="19">
        <v>0.9194444444444444</v>
      </c>
      <c r="B158" s="19">
        <v>0.9194444444444444</v>
      </c>
      <c r="C158" s="19">
        <v>0.92361111111111116</v>
      </c>
      <c r="D158" s="20" t="s">
        <v>46</v>
      </c>
      <c r="E158" s="20" t="s">
        <v>47</v>
      </c>
      <c r="F158" s="19">
        <f t="shared" si="32"/>
        <v>4.1666666666667629E-3</v>
      </c>
      <c r="G158" s="21">
        <f t="shared" si="33"/>
        <v>1324</v>
      </c>
      <c r="H158" s="19">
        <f t="shared" si="34"/>
        <v>4.1666666666667629E-3</v>
      </c>
      <c r="I158" s="175">
        <f>HOUR(H158)*60+MINUTE(H158)</f>
        <v>6</v>
      </c>
      <c r="J158" s="21">
        <f t="shared" si="35"/>
        <v>5</v>
      </c>
    </row>
    <row r="159" spans="1:10">
      <c r="A159" s="19">
        <v>0.9243055555555556</v>
      </c>
      <c r="B159" s="19">
        <v>0.9243055555555556</v>
      </c>
      <c r="C159" s="19">
        <v>0.9243055555555556</v>
      </c>
      <c r="D159" s="20" t="s">
        <v>46</v>
      </c>
      <c r="E159" s="20" t="s">
        <v>47</v>
      </c>
      <c r="F159" s="19">
        <f t="shared" si="32"/>
        <v>0</v>
      </c>
      <c r="G159" s="21">
        <f t="shared" si="33"/>
        <v>1331</v>
      </c>
      <c r="H159" s="19">
        <f t="shared" si="34"/>
        <v>0</v>
      </c>
      <c r="I159" s="175">
        <f>HOUR(H159)*60+MINUTE(H159)</f>
        <v>0</v>
      </c>
      <c r="J159" s="21">
        <f t="shared" si="35"/>
        <v>7</v>
      </c>
    </row>
    <row r="160" spans="1:10">
      <c r="A160" s="19">
        <v>0.92500000000000004</v>
      </c>
      <c r="B160" s="19">
        <v>0.92500000000000004</v>
      </c>
      <c r="C160" s="19">
        <v>0.92500000000000004</v>
      </c>
      <c r="D160" s="20" t="s">
        <v>46</v>
      </c>
      <c r="E160" s="20" t="s">
        <v>47</v>
      </c>
      <c r="F160" s="19">
        <f t="shared" si="32"/>
        <v>0</v>
      </c>
      <c r="G160" s="21">
        <f t="shared" si="33"/>
        <v>1332</v>
      </c>
      <c r="H160" s="19">
        <f t="shared" si="34"/>
        <v>0</v>
      </c>
      <c r="I160" s="175">
        <f>HOUR(H160)*60+MINUTE(H160)</f>
        <v>0</v>
      </c>
      <c r="J160" s="21">
        <f t="shared" si="35"/>
        <v>1</v>
      </c>
    </row>
    <row r="161" spans="1:10">
      <c r="A161" s="19">
        <v>0.9291666666666667</v>
      </c>
      <c r="B161" s="19">
        <v>0.9291666666666667</v>
      </c>
      <c r="C161" s="19">
        <v>0.9291666666666667</v>
      </c>
      <c r="D161" s="20" t="s">
        <v>46</v>
      </c>
      <c r="E161" s="20" t="s">
        <v>47</v>
      </c>
      <c r="F161" s="19">
        <f t="shared" si="32"/>
        <v>0</v>
      </c>
      <c r="G161" s="21">
        <f t="shared" si="33"/>
        <v>1338</v>
      </c>
      <c r="H161" s="19">
        <f t="shared" si="34"/>
        <v>0</v>
      </c>
      <c r="I161" s="175">
        <f>HOUR(H161)*60+MINUTE(H161)</f>
        <v>0</v>
      </c>
      <c r="J161" s="21">
        <f t="shared" si="35"/>
        <v>6</v>
      </c>
    </row>
    <row r="162" spans="1:10">
      <c r="A162" s="19">
        <v>0.93055555555555558</v>
      </c>
      <c r="B162" s="19">
        <v>0.93055555555555558</v>
      </c>
      <c r="C162" s="19">
        <v>0.93055555555555558</v>
      </c>
      <c r="D162" s="20" t="s">
        <v>46</v>
      </c>
      <c r="E162" s="20" t="s">
        <v>47</v>
      </c>
      <c r="F162" s="19">
        <f t="shared" si="32"/>
        <v>0</v>
      </c>
      <c r="G162" s="21">
        <f t="shared" si="33"/>
        <v>1340</v>
      </c>
      <c r="H162" s="19">
        <f t="shared" si="34"/>
        <v>0</v>
      </c>
      <c r="I162" s="175">
        <f>HOUR(H162)*60+MINUTE(H162)</f>
        <v>0</v>
      </c>
      <c r="J162" s="21">
        <f t="shared" si="35"/>
        <v>2</v>
      </c>
    </row>
    <row r="163" spans="1:10">
      <c r="A163" s="19">
        <v>0.93333333333333335</v>
      </c>
      <c r="B163" s="19">
        <v>0.93333333333333335</v>
      </c>
      <c r="C163" s="19">
        <v>0.93888888888888888</v>
      </c>
      <c r="D163" s="20" t="s">
        <v>46</v>
      </c>
      <c r="E163" s="20" t="s">
        <v>47</v>
      </c>
      <c r="F163" s="19">
        <f t="shared" si="32"/>
        <v>5.5555555555555358E-3</v>
      </c>
      <c r="G163" s="21">
        <f t="shared" si="33"/>
        <v>1344</v>
      </c>
      <c r="H163" s="19">
        <f t="shared" si="34"/>
        <v>5.5555555555555358E-3</v>
      </c>
      <c r="I163" s="175">
        <f>HOUR(H163)*60+MINUTE(H163)</f>
        <v>8</v>
      </c>
      <c r="J163" s="21">
        <f t="shared" si="35"/>
        <v>4</v>
      </c>
    </row>
    <row r="164" spans="1:10">
      <c r="A164" s="22">
        <v>0.93680555555555556</v>
      </c>
      <c r="B164" s="22">
        <v>0.93680555555555556</v>
      </c>
      <c r="C164" s="22">
        <v>0.94027777777777777</v>
      </c>
      <c r="D164" s="23" t="s">
        <v>48</v>
      </c>
      <c r="E164" s="23" t="s">
        <v>47</v>
      </c>
      <c r="F164" s="22">
        <f t="shared" si="32"/>
        <v>3.4722222222222099E-3</v>
      </c>
      <c r="G164" s="24">
        <f t="shared" si="33"/>
        <v>1349</v>
      </c>
      <c r="H164" s="22">
        <f t="shared" si="34"/>
        <v>3.4722222222222099E-3</v>
      </c>
      <c r="I164" s="176">
        <f>HOUR(H164)*60+MINUTE(H164)</f>
        <v>5</v>
      </c>
      <c r="J164" s="24">
        <f t="shared" si="35"/>
        <v>5</v>
      </c>
    </row>
    <row r="165" spans="1:10">
      <c r="A165" s="19">
        <v>0.93888888888888888</v>
      </c>
      <c r="B165" s="19">
        <v>0.93888888888888888</v>
      </c>
      <c r="C165" s="19">
        <v>0.94097222222222221</v>
      </c>
      <c r="D165" s="20" t="s">
        <v>46</v>
      </c>
      <c r="E165" s="20" t="s">
        <v>47</v>
      </c>
      <c r="F165" s="19">
        <f t="shared" si="32"/>
        <v>2.0833333333333259E-3</v>
      </c>
      <c r="G165" s="21">
        <f t="shared" si="33"/>
        <v>1352</v>
      </c>
      <c r="H165" s="19">
        <f t="shared" si="34"/>
        <v>2.0833333333333259E-3</v>
      </c>
      <c r="I165" s="175">
        <f>HOUR(H165)*60+MINUTE(H165)</f>
        <v>3</v>
      </c>
      <c r="J165" s="21">
        <f t="shared" si="35"/>
        <v>3</v>
      </c>
    </row>
    <row r="166" spans="1:10">
      <c r="A166" s="22">
        <v>0.93958333333333333</v>
      </c>
      <c r="B166" s="22">
        <v>0.94027777777777777</v>
      </c>
      <c r="C166" s="22">
        <v>0.94027777777777777</v>
      </c>
      <c r="D166" s="23" t="s">
        <v>48</v>
      </c>
      <c r="E166" s="23" t="s">
        <v>47</v>
      </c>
      <c r="F166" s="22">
        <f t="shared" si="32"/>
        <v>0</v>
      </c>
      <c r="G166" s="24">
        <f t="shared" si="33"/>
        <v>1353</v>
      </c>
      <c r="H166" s="22">
        <f t="shared" si="34"/>
        <v>0</v>
      </c>
      <c r="I166" s="176">
        <f>HOUR(H166)*60+MINUTE(H166)</f>
        <v>0</v>
      </c>
      <c r="J166" s="24">
        <f t="shared" si="35"/>
        <v>1</v>
      </c>
    </row>
    <row r="167" spans="1:10">
      <c r="A167" s="19">
        <v>0.94513888888888886</v>
      </c>
      <c r="B167" s="19">
        <v>0.94513888888888886</v>
      </c>
      <c r="C167" s="19">
        <v>0.94652777777777775</v>
      </c>
      <c r="D167" s="20" t="s">
        <v>46</v>
      </c>
      <c r="E167" s="20" t="s">
        <v>47</v>
      </c>
      <c r="F167" s="19">
        <f t="shared" si="32"/>
        <v>1.388888888888884E-3</v>
      </c>
      <c r="G167" s="21">
        <f t="shared" si="33"/>
        <v>1361</v>
      </c>
      <c r="H167" s="19">
        <f t="shared" si="34"/>
        <v>1.388888888888884E-3</v>
      </c>
      <c r="I167" s="175">
        <f>HOUR(H167)*60+MINUTE(H167)</f>
        <v>2</v>
      </c>
      <c r="J167" s="21">
        <f t="shared" si="35"/>
        <v>8</v>
      </c>
    </row>
    <row r="168" spans="1:10">
      <c r="A168" s="22">
        <v>0.9458333333333333</v>
      </c>
      <c r="B168" s="22">
        <v>0.9458333333333333</v>
      </c>
      <c r="C168" s="22">
        <v>0.94791666666666663</v>
      </c>
      <c r="D168" s="23" t="s">
        <v>48</v>
      </c>
      <c r="E168" s="23" t="s">
        <v>47</v>
      </c>
      <c r="F168" s="22">
        <f t="shared" si="32"/>
        <v>2.0833333333333259E-3</v>
      </c>
      <c r="G168" s="24">
        <f t="shared" si="33"/>
        <v>1362</v>
      </c>
      <c r="H168" s="22">
        <f t="shared" si="34"/>
        <v>2.0833333333333259E-3</v>
      </c>
      <c r="I168" s="176">
        <f>HOUR(H168)*60+MINUTE(H168)</f>
        <v>3</v>
      </c>
      <c r="J168" s="24">
        <f t="shared" si="35"/>
        <v>1</v>
      </c>
    </row>
    <row r="169" spans="1:10">
      <c r="A169" s="19">
        <v>0.94652777777777775</v>
      </c>
      <c r="B169" s="19">
        <v>0.94652777777777775</v>
      </c>
      <c r="C169" s="19">
        <v>0.94722222222222219</v>
      </c>
      <c r="D169" s="20" t="s">
        <v>46</v>
      </c>
      <c r="E169" s="20" t="s">
        <v>47</v>
      </c>
      <c r="F169" s="19">
        <f t="shared" si="32"/>
        <v>6.9444444444444198E-4</v>
      </c>
      <c r="G169" s="21">
        <f t="shared" si="33"/>
        <v>1363</v>
      </c>
      <c r="H169" s="19">
        <f t="shared" si="34"/>
        <v>6.9444444444444198E-4</v>
      </c>
      <c r="I169" s="175">
        <f>HOUR(H169)*60+MINUTE(H169)</f>
        <v>1</v>
      </c>
      <c r="J169" s="21">
        <f t="shared" si="35"/>
        <v>1</v>
      </c>
    </row>
    <row r="170" spans="1:10">
      <c r="A170" s="19">
        <v>0.94722222222222219</v>
      </c>
      <c r="B170" s="19">
        <v>0.94722222222222219</v>
      </c>
      <c r="C170" s="19">
        <v>0.94861111111111107</v>
      </c>
      <c r="D170" s="20" t="s">
        <v>46</v>
      </c>
      <c r="E170" s="20" t="s">
        <v>47</v>
      </c>
      <c r="F170" s="19">
        <f t="shared" si="32"/>
        <v>1.388888888888884E-3</v>
      </c>
      <c r="G170" s="21">
        <f t="shared" si="33"/>
        <v>1364</v>
      </c>
      <c r="H170" s="19">
        <f t="shared" si="34"/>
        <v>1.388888888888884E-3</v>
      </c>
      <c r="I170" s="175">
        <f>HOUR(H170)*60+MINUTE(H170)</f>
        <v>2</v>
      </c>
      <c r="J170" s="21">
        <f t="shared" si="35"/>
        <v>1</v>
      </c>
    </row>
    <row r="171" spans="1:10">
      <c r="A171" s="19">
        <v>0.95</v>
      </c>
      <c r="B171" s="19">
        <v>0.95</v>
      </c>
      <c r="C171" s="19">
        <v>0.95138888888888884</v>
      </c>
      <c r="D171" s="20" t="s">
        <v>46</v>
      </c>
      <c r="E171" s="20" t="s">
        <v>47</v>
      </c>
      <c r="F171" s="19">
        <f t="shared" si="32"/>
        <v>1.388888888888884E-3</v>
      </c>
      <c r="G171" s="21">
        <f t="shared" si="33"/>
        <v>1368</v>
      </c>
      <c r="H171" s="19">
        <f t="shared" si="34"/>
        <v>1.388888888888884E-3</v>
      </c>
      <c r="I171" s="175">
        <f>HOUR(H171)*60+MINUTE(H171)</f>
        <v>2</v>
      </c>
      <c r="J171" s="21">
        <f t="shared" si="35"/>
        <v>4</v>
      </c>
    </row>
    <row r="172" spans="1:10">
      <c r="A172" s="19">
        <v>0.95347222222222228</v>
      </c>
      <c r="B172" s="19">
        <v>0.95347222222222228</v>
      </c>
      <c r="C172" s="19">
        <v>0.95625000000000004</v>
      </c>
      <c r="D172" s="20" t="s">
        <v>46</v>
      </c>
      <c r="E172" s="20" t="s">
        <v>47</v>
      </c>
      <c r="F172" s="19">
        <f t="shared" si="32"/>
        <v>2.7777777777777679E-3</v>
      </c>
      <c r="G172" s="21">
        <f t="shared" si="33"/>
        <v>1373</v>
      </c>
      <c r="H172" s="19">
        <f t="shared" si="34"/>
        <v>2.7777777777777679E-3</v>
      </c>
      <c r="I172" s="175">
        <f>HOUR(H172)*60+MINUTE(H172)</f>
        <v>4</v>
      </c>
      <c r="J172" s="21">
        <f t="shared" si="35"/>
        <v>5</v>
      </c>
    </row>
    <row r="173" spans="1:10">
      <c r="A173" s="22">
        <v>0.95347222222222228</v>
      </c>
      <c r="B173" s="22">
        <v>0.95347222222222228</v>
      </c>
      <c r="C173" s="22">
        <v>0.95625000000000004</v>
      </c>
      <c r="D173" s="23" t="s">
        <v>48</v>
      </c>
      <c r="E173" s="23" t="s">
        <v>47</v>
      </c>
      <c r="F173" s="22">
        <f t="shared" si="32"/>
        <v>2.7777777777777679E-3</v>
      </c>
      <c r="G173" s="24">
        <f t="shared" si="33"/>
        <v>1373</v>
      </c>
      <c r="H173" s="22">
        <f t="shared" si="34"/>
        <v>2.7777777777777679E-3</v>
      </c>
      <c r="I173" s="176">
        <f>HOUR(H173)*60+MINUTE(H173)</f>
        <v>4</v>
      </c>
      <c r="J173" s="24">
        <f t="shared" si="35"/>
        <v>0</v>
      </c>
    </row>
    <row r="174" spans="1:10">
      <c r="A174" s="19">
        <v>0.9555555555555556</v>
      </c>
      <c r="B174" s="19">
        <v>0.95625000000000004</v>
      </c>
      <c r="C174" s="19">
        <v>0.95625000000000004</v>
      </c>
      <c r="D174" s="20" t="s">
        <v>46</v>
      </c>
      <c r="E174" s="20" t="s">
        <v>47</v>
      </c>
      <c r="F174" s="19">
        <f t="shared" si="32"/>
        <v>0</v>
      </c>
      <c r="G174" s="21">
        <f t="shared" si="33"/>
        <v>1376</v>
      </c>
      <c r="H174" s="19">
        <f t="shared" si="34"/>
        <v>0</v>
      </c>
      <c r="I174" s="175">
        <f>HOUR(H174)*60+MINUTE(H174)</f>
        <v>0</v>
      </c>
      <c r="J174" s="21">
        <f t="shared" si="35"/>
        <v>3</v>
      </c>
    </row>
    <row r="175" spans="1:10">
      <c r="A175" s="19">
        <v>0.95625000000000004</v>
      </c>
      <c r="B175" s="19">
        <v>0.95625000000000004</v>
      </c>
      <c r="C175" s="19">
        <v>0.95763888888888893</v>
      </c>
      <c r="D175" s="20" t="s">
        <v>46</v>
      </c>
      <c r="E175" s="20" t="s">
        <v>47</v>
      </c>
      <c r="F175" s="19">
        <f t="shared" si="32"/>
        <v>1.388888888888884E-3</v>
      </c>
      <c r="G175" s="21">
        <f t="shared" si="33"/>
        <v>1377</v>
      </c>
      <c r="H175" s="19">
        <f t="shared" si="34"/>
        <v>1.388888888888884E-3</v>
      </c>
      <c r="I175" s="175">
        <f>HOUR(H175)*60+MINUTE(H175)</f>
        <v>2</v>
      </c>
      <c r="J175" s="21">
        <f>G175-G174</f>
        <v>1</v>
      </c>
    </row>
    <row r="176" spans="1:10">
      <c r="C176" s="1"/>
      <c r="E176" s="1"/>
      <c r="G176" s="1"/>
      <c r="I176" s="1"/>
      <c r="J176" s="1"/>
    </row>
    <row r="177" spans="1:10">
      <c r="I177" s="1"/>
    </row>
    <row r="178" spans="1:10">
      <c r="A178" s="8" t="s">
        <v>90</v>
      </c>
      <c r="B178" s="8" t="s">
        <v>163</v>
      </c>
      <c r="C178" s="8" t="s">
        <v>47</v>
      </c>
      <c r="D178" s="8"/>
      <c r="E178" s="8"/>
      <c r="F178" s="8"/>
      <c r="G178" s="8"/>
      <c r="H178" s="8"/>
      <c r="I178" s="9"/>
      <c r="J178" s="8" t="s">
        <v>13</v>
      </c>
    </row>
    <row r="179" spans="1:10">
      <c r="A179" s="2">
        <v>0.58402777777777781</v>
      </c>
      <c r="B179" s="2">
        <v>0.58402777777777781</v>
      </c>
      <c r="C179" s="2">
        <v>0.58680555555555558</v>
      </c>
      <c r="D179" s="3" t="s">
        <v>46</v>
      </c>
      <c r="E179" s="3" t="s">
        <v>47</v>
      </c>
      <c r="F179" s="2">
        <f t="shared" ref="F179:F242" si="36">C179-B179</f>
        <v>2.7777777777777679E-3</v>
      </c>
      <c r="G179" s="4">
        <f t="shared" ref="G179:G242" si="37">HOUR(A179)*60+MINUTE(A179)</f>
        <v>841</v>
      </c>
      <c r="H179" s="2">
        <f t="shared" ref="H179:H242" si="38">C179-B179</f>
        <v>2.7777777777777679E-3</v>
      </c>
      <c r="I179" s="4">
        <f>HOUR(H179)*60+MINUTE(H179)</f>
        <v>4</v>
      </c>
      <c r="J179" s="4"/>
    </row>
    <row r="180" spans="1:10">
      <c r="A180" s="2">
        <v>0.58750000000000002</v>
      </c>
      <c r="B180" s="2">
        <v>0.58750000000000002</v>
      </c>
      <c r="C180" s="2">
        <v>0.58750000000000002</v>
      </c>
      <c r="D180" s="3" t="s">
        <v>46</v>
      </c>
      <c r="E180" s="3" t="s">
        <v>47</v>
      </c>
      <c r="F180" s="2">
        <f t="shared" si="36"/>
        <v>0</v>
      </c>
      <c r="G180" s="4">
        <f t="shared" si="37"/>
        <v>846</v>
      </c>
      <c r="H180" s="2">
        <f t="shared" si="38"/>
        <v>0</v>
      </c>
      <c r="I180" s="4">
        <f>HOUR(H180)*60+MINUTE(H180)</f>
        <v>0</v>
      </c>
      <c r="J180" s="4">
        <f>G180-G179</f>
        <v>5</v>
      </c>
    </row>
    <row r="181" spans="1:10">
      <c r="A181" s="2">
        <v>0.58958333333333335</v>
      </c>
      <c r="B181" s="2">
        <v>0.58958333333333335</v>
      </c>
      <c r="C181" s="2">
        <v>0.59097222222222223</v>
      </c>
      <c r="D181" s="3" t="s">
        <v>46</v>
      </c>
      <c r="E181" s="3" t="s">
        <v>47</v>
      </c>
      <c r="F181" s="2">
        <f t="shared" si="36"/>
        <v>1.388888888888884E-3</v>
      </c>
      <c r="G181" s="4">
        <f t="shared" si="37"/>
        <v>849</v>
      </c>
      <c r="H181" s="2">
        <f t="shared" si="38"/>
        <v>1.388888888888884E-3</v>
      </c>
      <c r="I181" s="4">
        <f>HOUR(H181)*60+MINUTE(H181)</f>
        <v>2</v>
      </c>
      <c r="J181" s="4">
        <f t="shared" ref="J181:J244" si="39">G181-G180</f>
        <v>3</v>
      </c>
    </row>
    <row r="182" spans="1:10">
      <c r="A182" s="2">
        <v>0.60138888888888886</v>
      </c>
      <c r="B182" s="2">
        <v>0.60138888888888886</v>
      </c>
      <c r="C182" s="2">
        <v>0.6020833333333333</v>
      </c>
      <c r="D182" s="3" t="s">
        <v>46</v>
      </c>
      <c r="E182" s="3" t="s">
        <v>47</v>
      </c>
      <c r="F182" s="2">
        <f t="shared" si="36"/>
        <v>6.9444444444444198E-4</v>
      </c>
      <c r="G182" s="4">
        <f t="shared" si="37"/>
        <v>866</v>
      </c>
      <c r="H182" s="2">
        <f t="shared" si="38"/>
        <v>6.9444444444444198E-4</v>
      </c>
      <c r="I182" s="4">
        <f>HOUR(H182)*60+MINUTE(H182)</f>
        <v>1</v>
      </c>
      <c r="J182" s="4">
        <f t="shared" si="39"/>
        <v>17</v>
      </c>
    </row>
    <row r="183" spans="1:10">
      <c r="A183" s="2">
        <v>0.60624999999999996</v>
      </c>
      <c r="B183" s="2">
        <v>0.60624999999999996</v>
      </c>
      <c r="C183" s="2">
        <v>0.61597222222222225</v>
      </c>
      <c r="D183" s="3" t="s">
        <v>46</v>
      </c>
      <c r="E183" s="3" t="s">
        <v>47</v>
      </c>
      <c r="F183" s="2">
        <f t="shared" si="36"/>
        <v>9.7222222222222987E-3</v>
      </c>
      <c r="G183" s="4">
        <f t="shared" si="37"/>
        <v>873</v>
      </c>
      <c r="H183" s="2">
        <f t="shared" si="38"/>
        <v>9.7222222222222987E-3</v>
      </c>
      <c r="I183" s="4">
        <f>HOUR(H183)*60+MINUTE(H183)</f>
        <v>14</v>
      </c>
      <c r="J183" s="4">
        <f t="shared" si="39"/>
        <v>7</v>
      </c>
    </row>
    <row r="184" spans="1:10">
      <c r="A184" s="2">
        <v>0.62222222222222223</v>
      </c>
      <c r="B184" s="2">
        <v>0.62222222222222223</v>
      </c>
      <c r="C184" s="2">
        <v>0.62777777777777777</v>
      </c>
      <c r="D184" s="3" t="s">
        <v>46</v>
      </c>
      <c r="E184" s="3" t="s">
        <v>47</v>
      </c>
      <c r="F184" s="2">
        <f t="shared" si="36"/>
        <v>5.5555555555555358E-3</v>
      </c>
      <c r="G184" s="4">
        <f t="shared" si="37"/>
        <v>896</v>
      </c>
      <c r="H184" s="2">
        <f t="shared" si="38"/>
        <v>5.5555555555555358E-3</v>
      </c>
      <c r="I184" s="4">
        <f>HOUR(H184)*60+MINUTE(H184)</f>
        <v>8</v>
      </c>
      <c r="J184" s="4">
        <f t="shared" si="39"/>
        <v>23</v>
      </c>
    </row>
    <row r="185" spans="1:10">
      <c r="A185" s="2">
        <v>0.63263888888888886</v>
      </c>
      <c r="B185" s="2">
        <v>0.63263888888888886</v>
      </c>
      <c r="C185" s="2">
        <v>0.63680555555555551</v>
      </c>
      <c r="D185" s="3" t="s">
        <v>46</v>
      </c>
      <c r="E185" s="3" t="s">
        <v>47</v>
      </c>
      <c r="F185" s="2">
        <f t="shared" si="36"/>
        <v>4.1666666666666519E-3</v>
      </c>
      <c r="G185" s="4">
        <f t="shared" si="37"/>
        <v>911</v>
      </c>
      <c r="H185" s="2">
        <f t="shared" si="38"/>
        <v>4.1666666666666519E-3</v>
      </c>
      <c r="I185" s="4">
        <f>HOUR(H185)*60+MINUTE(H185)</f>
        <v>6</v>
      </c>
      <c r="J185" s="4">
        <f t="shared" si="39"/>
        <v>15</v>
      </c>
    </row>
    <row r="186" spans="1:10">
      <c r="A186" s="2">
        <v>0.63402777777777775</v>
      </c>
      <c r="B186" s="2">
        <v>0.63680555555555551</v>
      </c>
      <c r="C186" s="2">
        <v>0.63888888888888884</v>
      </c>
      <c r="D186" s="3" t="s">
        <v>46</v>
      </c>
      <c r="E186" s="3" t="s">
        <v>47</v>
      </c>
      <c r="F186" s="2">
        <f t="shared" si="36"/>
        <v>2.0833333333333259E-3</v>
      </c>
      <c r="G186" s="4">
        <f t="shared" si="37"/>
        <v>913</v>
      </c>
      <c r="H186" s="2">
        <f t="shared" si="38"/>
        <v>2.0833333333333259E-3</v>
      </c>
      <c r="I186" s="4">
        <f>HOUR(H186)*60+MINUTE(H186)</f>
        <v>3</v>
      </c>
      <c r="J186" s="4">
        <f t="shared" si="39"/>
        <v>2</v>
      </c>
    </row>
    <row r="187" spans="1:10">
      <c r="A187" s="2">
        <v>0.63749999999999996</v>
      </c>
      <c r="B187" s="2">
        <v>0.63888888888888884</v>
      </c>
      <c r="C187" s="2">
        <v>0.63958333333333328</v>
      </c>
      <c r="D187" s="3" t="s">
        <v>46</v>
      </c>
      <c r="E187" s="3" t="s">
        <v>47</v>
      </c>
      <c r="F187" s="2">
        <f t="shared" si="36"/>
        <v>6.9444444444444198E-4</v>
      </c>
      <c r="G187" s="4">
        <f t="shared" si="37"/>
        <v>918</v>
      </c>
      <c r="H187" s="2">
        <f t="shared" si="38"/>
        <v>6.9444444444444198E-4</v>
      </c>
      <c r="I187" s="4">
        <f>HOUR(H187)*60+MINUTE(H187)</f>
        <v>1</v>
      </c>
      <c r="J187" s="4">
        <f t="shared" si="39"/>
        <v>5</v>
      </c>
    </row>
    <row r="188" spans="1:10">
      <c r="A188" s="2">
        <v>0.6430555555555556</v>
      </c>
      <c r="B188" s="2">
        <v>0.6430555555555556</v>
      </c>
      <c r="C188" s="2">
        <v>0.6430555555555556</v>
      </c>
      <c r="D188" s="3" t="s">
        <v>46</v>
      </c>
      <c r="E188" s="3" t="s">
        <v>47</v>
      </c>
      <c r="F188" s="2">
        <f t="shared" si="36"/>
        <v>0</v>
      </c>
      <c r="G188" s="4">
        <f t="shared" si="37"/>
        <v>926</v>
      </c>
      <c r="H188" s="2">
        <f t="shared" si="38"/>
        <v>0</v>
      </c>
      <c r="I188" s="4">
        <f>HOUR(H188)*60+MINUTE(H188)</f>
        <v>0</v>
      </c>
      <c r="J188" s="4">
        <f t="shared" si="39"/>
        <v>8</v>
      </c>
    </row>
    <row r="189" spans="1:10">
      <c r="A189" s="2">
        <v>0.64444444444444449</v>
      </c>
      <c r="B189" s="2">
        <v>0.64444444444444449</v>
      </c>
      <c r="C189" s="2">
        <v>0.64722222222222225</v>
      </c>
      <c r="D189" s="3" t="s">
        <v>46</v>
      </c>
      <c r="E189" s="3" t="s">
        <v>47</v>
      </c>
      <c r="F189" s="2">
        <f t="shared" si="36"/>
        <v>2.7777777777777679E-3</v>
      </c>
      <c r="G189" s="4">
        <f t="shared" si="37"/>
        <v>928</v>
      </c>
      <c r="H189" s="2">
        <f t="shared" si="38"/>
        <v>2.7777777777777679E-3</v>
      </c>
      <c r="I189" s="4">
        <f>HOUR(H189)*60+MINUTE(H189)</f>
        <v>4</v>
      </c>
      <c r="J189" s="4">
        <f t="shared" si="39"/>
        <v>2</v>
      </c>
    </row>
    <row r="190" spans="1:10">
      <c r="A190" s="2">
        <v>0.6479166666666667</v>
      </c>
      <c r="B190" s="2">
        <v>0.6479166666666667</v>
      </c>
      <c r="C190" s="2">
        <v>0.65555555555555556</v>
      </c>
      <c r="D190" s="3" t="s">
        <v>46</v>
      </c>
      <c r="E190" s="3" t="s">
        <v>47</v>
      </c>
      <c r="F190" s="2">
        <f t="shared" si="36"/>
        <v>7.6388888888888618E-3</v>
      </c>
      <c r="G190" s="4">
        <f t="shared" si="37"/>
        <v>933</v>
      </c>
      <c r="H190" s="2">
        <f t="shared" si="38"/>
        <v>7.6388888888888618E-3</v>
      </c>
      <c r="I190" s="4">
        <f>HOUR(H190)*60+MINUTE(H190)</f>
        <v>11</v>
      </c>
      <c r="J190" s="4">
        <f t="shared" si="39"/>
        <v>5</v>
      </c>
    </row>
    <row r="191" spans="1:10">
      <c r="A191" s="2">
        <v>0.65347222222222223</v>
      </c>
      <c r="B191" s="2">
        <v>0.65555555555555556</v>
      </c>
      <c r="C191" s="2">
        <v>0.66249999999999998</v>
      </c>
      <c r="D191" s="3" t="s">
        <v>46</v>
      </c>
      <c r="E191" s="3" t="s">
        <v>47</v>
      </c>
      <c r="F191" s="2">
        <f t="shared" si="36"/>
        <v>6.9444444444444198E-3</v>
      </c>
      <c r="G191" s="4">
        <f t="shared" si="37"/>
        <v>941</v>
      </c>
      <c r="H191" s="2">
        <f t="shared" si="38"/>
        <v>6.9444444444444198E-3</v>
      </c>
      <c r="I191" s="4">
        <f>HOUR(H191)*60+MINUTE(H191)</f>
        <v>10</v>
      </c>
      <c r="J191" s="4">
        <f t="shared" si="39"/>
        <v>8</v>
      </c>
    </row>
    <row r="192" spans="1:10">
      <c r="A192" s="2">
        <v>0.66736111111111107</v>
      </c>
      <c r="B192" s="2">
        <v>0.66736111111111107</v>
      </c>
      <c r="C192" s="2">
        <v>0.66736111111111107</v>
      </c>
      <c r="D192" s="3" t="s">
        <v>46</v>
      </c>
      <c r="E192" s="3" t="s">
        <v>47</v>
      </c>
      <c r="F192" s="2">
        <f t="shared" si="36"/>
        <v>0</v>
      </c>
      <c r="G192" s="4">
        <f t="shared" si="37"/>
        <v>961</v>
      </c>
      <c r="H192" s="2">
        <f t="shared" si="38"/>
        <v>0</v>
      </c>
      <c r="I192" s="4">
        <f>HOUR(H192)*60+MINUTE(H192)</f>
        <v>0</v>
      </c>
      <c r="J192" s="4">
        <f t="shared" si="39"/>
        <v>20</v>
      </c>
    </row>
    <row r="193" spans="1:10">
      <c r="A193" s="2">
        <v>0.67222222222222228</v>
      </c>
      <c r="B193" s="2">
        <v>0.67222222222222228</v>
      </c>
      <c r="C193" s="2">
        <v>0.6791666666666667</v>
      </c>
      <c r="D193" s="3" t="s">
        <v>46</v>
      </c>
      <c r="E193" s="3" t="s">
        <v>47</v>
      </c>
      <c r="F193" s="2">
        <f t="shared" si="36"/>
        <v>6.9444444444444198E-3</v>
      </c>
      <c r="G193" s="4">
        <f t="shared" si="37"/>
        <v>968</v>
      </c>
      <c r="H193" s="2">
        <f t="shared" si="38"/>
        <v>6.9444444444444198E-3</v>
      </c>
      <c r="I193" s="4">
        <f>HOUR(H193)*60+MINUTE(H193)</f>
        <v>10</v>
      </c>
      <c r="J193" s="4">
        <f t="shared" si="39"/>
        <v>7</v>
      </c>
    </row>
    <row r="194" spans="1:10">
      <c r="A194" s="2">
        <v>0.67777777777777781</v>
      </c>
      <c r="B194" s="2">
        <v>0.6791666666666667</v>
      </c>
      <c r="C194" s="2">
        <v>0.68819444444444444</v>
      </c>
      <c r="D194" s="3" t="s">
        <v>46</v>
      </c>
      <c r="E194" s="3" t="s">
        <v>47</v>
      </c>
      <c r="F194" s="2">
        <f t="shared" si="36"/>
        <v>9.0277777777777457E-3</v>
      </c>
      <c r="G194" s="4">
        <f t="shared" si="37"/>
        <v>976</v>
      </c>
      <c r="H194" s="2">
        <f t="shared" si="38"/>
        <v>9.0277777777777457E-3</v>
      </c>
      <c r="I194" s="4">
        <f>HOUR(H194)*60+MINUTE(H194)</f>
        <v>13</v>
      </c>
      <c r="J194" s="4">
        <f t="shared" si="39"/>
        <v>8</v>
      </c>
    </row>
    <row r="195" spans="1:10">
      <c r="A195" s="2">
        <v>0.68611111111111112</v>
      </c>
      <c r="B195" s="2">
        <v>0.68819444444444444</v>
      </c>
      <c r="C195" s="2">
        <v>0.68958333333333333</v>
      </c>
      <c r="D195" s="3" t="s">
        <v>46</v>
      </c>
      <c r="E195" s="3" t="s">
        <v>47</v>
      </c>
      <c r="F195" s="2">
        <f t="shared" si="36"/>
        <v>1.388888888888884E-3</v>
      </c>
      <c r="G195" s="4">
        <f t="shared" si="37"/>
        <v>988</v>
      </c>
      <c r="H195" s="2">
        <f t="shared" si="38"/>
        <v>1.388888888888884E-3</v>
      </c>
      <c r="I195" s="4">
        <f>HOUR(H195)*60+MINUTE(H195)</f>
        <v>2</v>
      </c>
      <c r="J195" s="4">
        <f t="shared" si="39"/>
        <v>12</v>
      </c>
    </row>
    <row r="196" spans="1:10">
      <c r="A196" s="2">
        <v>0.69027777777777777</v>
      </c>
      <c r="B196" s="2">
        <v>0.69027777777777777</v>
      </c>
      <c r="C196" s="2">
        <v>0.69166666666666665</v>
      </c>
      <c r="D196" s="3" t="s">
        <v>46</v>
      </c>
      <c r="E196" s="3" t="s">
        <v>47</v>
      </c>
      <c r="F196" s="2">
        <f t="shared" si="36"/>
        <v>1.388888888888884E-3</v>
      </c>
      <c r="G196" s="4">
        <f t="shared" si="37"/>
        <v>994</v>
      </c>
      <c r="H196" s="2">
        <f t="shared" si="38"/>
        <v>1.388888888888884E-3</v>
      </c>
      <c r="I196" s="4">
        <f>HOUR(H196)*60+MINUTE(H196)</f>
        <v>2</v>
      </c>
      <c r="J196" s="4">
        <f t="shared" si="39"/>
        <v>6</v>
      </c>
    </row>
    <row r="197" spans="1:10">
      <c r="A197" s="2">
        <v>0.69236111111111109</v>
      </c>
      <c r="B197" s="2">
        <v>0.69236111111111109</v>
      </c>
      <c r="C197" s="2">
        <v>0.69305555555555554</v>
      </c>
      <c r="D197" s="3" t="s">
        <v>46</v>
      </c>
      <c r="E197" s="3" t="s">
        <v>47</v>
      </c>
      <c r="F197" s="2">
        <f t="shared" si="36"/>
        <v>6.9444444444444198E-4</v>
      </c>
      <c r="G197" s="4">
        <f t="shared" si="37"/>
        <v>997</v>
      </c>
      <c r="H197" s="2">
        <f t="shared" si="38"/>
        <v>6.9444444444444198E-4</v>
      </c>
      <c r="I197" s="4">
        <f>HOUR(H197)*60+MINUTE(H197)</f>
        <v>1</v>
      </c>
      <c r="J197" s="4">
        <f t="shared" si="39"/>
        <v>3</v>
      </c>
    </row>
    <row r="198" spans="1:10">
      <c r="A198" s="2">
        <v>0.69236111111111109</v>
      </c>
      <c r="B198" s="2">
        <v>0.69305555555555554</v>
      </c>
      <c r="C198" s="2">
        <v>0.69374999999999998</v>
      </c>
      <c r="D198" s="3" t="s">
        <v>46</v>
      </c>
      <c r="E198" s="3" t="s">
        <v>47</v>
      </c>
      <c r="F198" s="2">
        <f t="shared" si="36"/>
        <v>6.9444444444444198E-4</v>
      </c>
      <c r="G198" s="4">
        <f t="shared" si="37"/>
        <v>997</v>
      </c>
      <c r="H198" s="2">
        <f t="shared" si="38"/>
        <v>6.9444444444444198E-4</v>
      </c>
      <c r="I198" s="4">
        <f>HOUR(H198)*60+MINUTE(H198)</f>
        <v>1</v>
      </c>
      <c r="J198" s="4">
        <f t="shared" si="39"/>
        <v>0</v>
      </c>
    </row>
    <row r="199" spans="1:10">
      <c r="A199" s="2">
        <v>0.69861111111111107</v>
      </c>
      <c r="B199" s="2">
        <v>0.69861111111111107</v>
      </c>
      <c r="C199" s="2">
        <v>0.7006944444444444</v>
      </c>
      <c r="D199" s="3" t="s">
        <v>46</v>
      </c>
      <c r="E199" s="3" t="s">
        <v>47</v>
      </c>
      <c r="F199" s="2">
        <f t="shared" si="36"/>
        <v>2.0833333333333259E-3</v>
      </c>
      <c r="G199" s="4">
        <f t="shared" si="37"/>
        <v>1006</v>
      </c>
      <c r="H199" s="2">
        <f t="shared" si="38"/>
        <v>2.0833333333333259E-3</v>
      </c>
      <c r="I199" s="4">
        <f>HOUR(H199)*60+MINUTE(H199)</f>
        <v>3</v>
      </c>
      <c r="J199" s="4">
        <f t="shared" si="39"/>
        <v>9</v>
      </c>
    </row>
    <row r="200" spans="1:10">
      <c r="A200" s="2">
        <v>0.70138888888888884</v>
      </c>
      <c r="B200" s="2">
        <v>0.70138888888888884</v>
      </c>
      <c r="C200" s="2">
        <v>0.70902777777777781</v>
      </c>
      <c r="D200" s="3" t="s">
        <v>46</v>
      </c>
      <c r="E200" s="3" t="s">
        <v>47</v>
      </c>
      <c r="F200" s="2">
        <f t="shared" si="36"/>
        <v>7.6388888888889728E-3</v>
      </c>
      <c r="G200" s="4">
        <f t="shared" si="37"/>
        <v>1010</v>
      </c>
      <c r="H200" s="2">
        <f t="shared" si="38"/>
        <v>7.6388888888889728E-3</v>
      </c>
      <c r="I200" s="4">
        <f>HOUR(H200)*60+MINUTE(H200)</f>
        <v>11</v>
      </c>
      <c r="J200" s="4">
        <f t="shared" si="39"/>
        <v>4</v>
      </c>
    </row>
    <row r="201" spans="1:10">
      <c r="A201" s="2">
        <v>0.70972222222222225</v>
      </c>
      <c r="B201" s="2">
        <v>0.70972222222222225</v>
      </c>
      <c r="C201" s="2">
        <v>0.72222222222222221</v>
      </c>
      <c r="D201" s="3" t="s">
        <v>46</v>
      </c>
      <c r="E201" s="3" t="s">
        <v>47</v>
      </c>
      <c r="F201" s="2">
        <f t="shared" si="36"/>
        <v>1.2499999999999956E-2</v>
      </c>
      <c r="G201" s="4">
        <f t="shared" si="37"/>
        <v>1022</v>
      </c>
      <c r="H201" s="2">
        <f t="shared" si="38"/>
        <v>1.2499999999999956E-2</v>
      </c>
      <c r="I201" s="4">
        <f>HOUR(H201)*60+MINUTE(H201)</f>
        <v>18</v>
      </c>
      <c r="J201" s="4">
        <f t="shared" si="39"/>
        <v>12</v>
      </c>
    </row>
    <row r="202" spans="1:10">
      <c r="A202" s="2">
        <v>0.72222222222222221</v>
      </c>
      <c r="B202" s="2">
        <v>0.72222222222222221</v>
      </c>
      <c r="C202" s="2">
        <v>0.72638888888888886</v>
      </c>
      <c r="D202" s="3" t="s">
        <v>46</v>
      </c>
      <c r="E202" s="3" t="s">
        <v>47</v>
      </c>
      <c r="F202" s="2">
        <f t="shared" si="36"/>
        <v>4.1666666666666519E-3</v>
      </c>
      <c r="G202" s="4">
        <f t="shared" si="37"/>
        <v>1040</v>
      </c>
      <c r="H202" s="2">
        <f t="shared" si="38"/>
        <v>4.1666666666666519E-3</v>
      </c>
      <c r="I202" s="4">
        <f>HOUR(H202)*60+MINUTE(H202)</f>
        <v>6</v>
      </c>
      <c r="J202" s="4">
        <f t="shared" si="39"/>
        <v>18</v>
      </c>
    </row>
    <row r="203" spans="1:10">
      <c r="A203" s="2">
        <v>0.72569444444444442</v>
      </c>
      <c r="B203" s="2">
        <v>0.72638888888888886</v>
      </c>
      <c r="C203" s="2">
        <v>0.72916666666666663</v>
      </c>
      <c r="D203" s="3" t="s">
        <v>46</v>
      </c>
      <c r="E203" s="3" t="s">
        <v>47</v>
      </c>
      <c r="F203" s="2">
        <f t="shared" si="36"/>
        <v>2.7777777777777679E-3</v>
      </c>
      <c r="G203" s="4">
        <f t="shared" si="37"/>
        <v>1045</v>
      </c>
      <c r="H203" s="2">
        <f t="shared" si="38"/>
        <v>2.7777777777777679E-3</v>
      </c>
      <c r="I203" s="4">
        <f>HOUR(H203)*60+MINUTE(H203)</f>
        <v>4</v>
      </c>
      <c r="J203" s="4">
        <f t="shared" si="39"/>
        <v>5</v>
      </c>
    </row>
    <row r="204" spans="1:10">
      <c r="A204" s="2">
        <v>0.73055555555555551</v>
      </c>
      <c r="B204" s="2">
        <v>0.73055555555555551</v>
      </c>
      <c r="C204" s="2">
        <v>0.73402777777777772</v>
      </c>
      <c r="D204" s="3" t="s">
        <v>46</v>
      </c>
      <c r="E204" s="3" t="s">
        <v>47</v>
      </c>
      <c r="F204" s="2">
        <f t="shared" si="36"/>
        <v>3.4722222222222099E-3</v>
      </c>
      <c r="G204" s="4">
        <f t="shared" si="37"/>
        <v>1052</v>
      </c>
      <c r="H204" s="2">
        <f t="shared" si="38"/>
        <v>3.4722222222222099E-3</v>
      </c>
      <c r="I204" s="4">
        <f>HOUR(H204)*60+MINUTE(H204)</f>
        <v>5</v>
      </c>
      <c r="J204" s="4">
        <f t="shared" si="39"/>
        <v>7</v>
      </c>
    </row>
    <row r="205" spans="1:10">
      <c r="A205" s="2">
        <v>0.73750000000000004</v>
      </c>
      <c r="B205" s="2">
        <v>0.73750000000000004</v>
      </c>
      <c r="C205" s="2">
        <v>0.73819444444444449</v>
      </c>
      <c r="D205" s="3" t="s">
        <v>46</v>
      </c>
      <c r="E205" s="3" t="s">
        <v>47</v>
      </c>
      <c r="F205" s="2">
        <f t="shared" si="36"/>
        <v>6.9444444444444198E-4</v>
      </c>
      <c r="G205" s="4">
        <f t="shared" si="37"/>
        <v>1062</v>
      </c>
      <c r="H205" s="2">
        <f t="shared" si="38"/>
        <v>6.9444444444444198E-4</v>
      </c>
      <c r="I205" s="4">
        <f>HOUR(H205)*60+MINUTE(H205)</f>
        <v>1</v>
      </c>
      <c r="J205" s="4">
        <f t="shared" si="39"/>
        <v>10</v>
      </c>
    </row>
    <row r="206" spans="1:10">
      <c r="A206" s="2">
        <v>0.73958333333333337</v>
      </c>
      <c r="B206" s="2">
        <v>0.73958333333333337</v>
      </c>
      <c r="C206" s="2">
        <v>0.74444444444444446</v>
      </c>
      <c r="D206" s="3" t="s">
        <v>46</v>
      </c>
      <c r="E206" s="3" t="s">
        <v>47</v>
      </c>
      <c r="F206" s="2">
        <f t="shared" si="36"/>
        <v>4.8611111111110938E-3</v>
      </c>
      <c r="G206" s="4">
        <f t="shared" si="37"/>
        <v>1065</v>
      </c>
      <c r="H206" s="2">
        <f t="shared" si="38"/>
        <v>4.8611111111110938E-3</v>
      </c>
      <c r="I206" s="4">
        <f>HOUR(H206)*60+MINUTE(H206)</f>
        <v>7</v>
      </c>
      <c r="J206" s="4">
        <f t="shared" si="39"/>
        <v>3</v>
      </c>
    </row>
    <row r="207" spans="1:10">
      <c r="A207" s="2">
        <v>0.74375000000000002</v>
      </c>
      <c r="B207" s="2">
        <v>0.74444444444444446</v>
      </c>
      <c r="C207" s="2">
        <v>0.75</v>
      </c>
      <c r="D207" s="3" t="s">
        <v>46</v>
      </c>
      <c r="E207" s="3" t="s">
        <v>47</v>
      </c>
      <c r="F207" s="2">
        <f t="shared" si="36"/>
        <v>5.5555555555555358E-3</v>
      </c>
      <c r="G207" s="4">
        <f t="shared" si="37"/>
        <v>1071</v>
      </c>
      <c r="H207" s="2">
        <f t="shared" si="38"/>
        <v>5.5555555555555358E-3</v>
      </c>
      <c r="I207" s="4">
        <f>HOUR(H207)*60+MINUTE(H207)</f>
        <v>8</v>
      </c>
      <c r="J207" s="4">
        <f t="shared" si="39"/>
        <v>6</v>
      </c>
    </row>
    <row r="208" spans="1:10">
      <c r="A208" s="2">
        <v>0.74444444444444446</v>
      </c>
      <c r="B208" s="2">
        <v>0.75</v>
      </c>
      <c r="C208" s="2">
        <v>0.75208333333333333</v>
      </c>
      <c r="D208" s="3" t="s">
        <v>46</v>
      </c>
      <c r="E208" s="3" t="s">
        <v>47</v>
      </c>
      <c r="F208" s="2">
        <f t="shared" si="36"/>
        <v>2.0833333333333259E-3</v>
      </c>
      <c r="G208" s="4">
        <f t="shared" si="37"/>
        <v>1072</v>
      </c>
      <c r="H208" s="2">
        <f t="shared" si="38"/>
        <v>2.0833333333333259E-3</v>
      </c>
      <c r="I208" s="4">
        <f>HOUR(H208)*60+MINUTE(H208)</f>
        <v>3</v>
      </c>
      <c r="J208" s="4">
        <f t="shared" si="39"/>
        <v>1</v>
      </c>
    </row>
    <row r="209" spans="1:10">
      <c r="A209" s="2">
        <v>0.74444444444444446</v>
      </c>
      <c r="B209" s="2">
        <v>0.75208333333333333</v>
      </c>
      <c r="C209" s="2">
        <v>0.75416666666666665</v>
      </c>
      <c r="D209" s="3" t="s">
        <v>46</v>
      </c>
      <c r="E209" s="3" t="s">
        <v>47</v>
      </c>
      <c r="F209" s="2">
        <f t="shared" si="36"/>
        <v>2.0833333333333259E-3</v>
      </c>
      <c r="G209" s="4">
        <f t="shared" si="37"/>
        <v>1072</v>
      </c>
      <c r="H209" s="2">
        <f t="shared" si="38"/>
        <v>2.0833333333333259E-3</v>
      </c>
      <c r="I209" s="4">
        <f>HOUR(H209)*60+MINUTE(H209)</f>
        <v>3</v>
      </c>
      <c r="J209" s="4">
        <f t="shared" si="39"/>
        <v>0</v>
      </c>
    </row>
    <row r="210" spans="1:10">
      <c r="A210" s="2">
        <v>0.74861111111111112</v>
      </c>
      <c r="B210" s="2">
        <v>0.75416666666666665</v>
      </c>
      <c r="C210" s="2">
        <v>0.75694444444444442</v>
      </c>
      <c r="D210" s="3" t="s">
        <v>46</v>
      </c>
      <c r="E210" s="3" t="s">
        <v>47</v>
      </c>
      <c r="F210" s="2">
        <f t="shared" si="36"/>
        <v>2.7777777777777679E-3</v>
      </c>
      <c r="G210" s="4">
        <f t="shared" si="37"/>
        <v>1078</v>
      </c>
      <c r="H210" s="2">
        <f t="shared" si="38"/>
        <v>2.7777777777777679E-3</v>
      </c>
      <c r="I210" s="4">
        <f>HOUR(H210)*60+MINUTE(H210)</f>
        <v>4</v>
      </c>
      <c r="J210" s="4">
        <f t="shared" si="39"/>
        <v>6</v>
      </c>
    </row>
    <row r="211" spans="1:10">
      <c r="A211" s="2">
        <v>0.75069444444444444</v>
      </c>
      <c r="B211" s="2">
        <v>0.75694444444444442</v>
      </c>
      <c r="C211" s="2">
        <v>0.76041666666666663</v>
      </c>
      <c r="D211" s="3" t="s">
        <v>46</v>
      </c>
      <c r="E211" s="3" t="s">
        <v>47</v>
      </c>
      <c r="F211" s="2">
        <f t="shared" si="36"/>
        <v>3.4722222222222099E-3</v>
      </c>
      <c r="G211" s="4">
        <f t="shared" si="37"/>
        <v>1081</v>
      </c>
      <c r="H211" s="2">
        <f t="shared" si="38"/>
        <v>3.4722222222222099E-3</v>
      </c>
      <c r="I211" s="4">
        <f>HOUR(H211)*60+MINUTE(H211)</f>
        <v>5</v>
      </c>
      <c r="J211" s="4">
        <f t="shared" si="39"/>
        <v>3</v>
      </c>
    </row>
    <row r="212" spans="1:10">
      <c r="A212" s="2">
        <v>0.75902777777777775</v>
      </c>
      <c r="B212" s="2">
        <v>0.76041666666666663</v>
      </c>
      <c r="C212" s="2">
        <v>0.76597222222222228</v>
      </c>
      <c r="D212" s="3" t="s">
        <v>46</v>
      </c>
      <c r="E212" s="3" t="s">
        <v>47</v>
      </c>
      <c r="F212" s="2">
        <f t="shared" si="36"/>
        <v>5.5555555555556468E-3</v>
      </c>
      <c r="G212" s="4">
        <f t="shared" si="37"/>
        <v>1093</v>
      </c>
      <c r="H212" s="2">
        <f t="shared" si="38"/>
        <v>5.5555555555556468E-3</v>
      </c>
      <c r="I212" s="4">
        <f>HOUR(H212)*60+MINUTE(H212)</f>
        <v>8</v>
      </c>
      <c r="J212" s="4">
        <f t="shared" si="39"/>
        <v>12</v>
      </c>
    </row>
    <row r="213" spans="1:10">
      <c r="A213" s="2">
        <v>0.76597222222222228</v>
      </c>
      <c r="B213" s="2">
        <v>0.76597222222222228</v>
      </c>
      <c r="C213" s="2">
        <v>0.76666666666666672</v>
      </c>
      <c r="D213" s="3" t="s">
        <v>46</v>
      </c>
      <c r="E213" s="3" t="s">
        <v>47</v>
      </c>
      <c r="F213" s="2">
        <f t="shared" si="36"/>
        <v>6.9444444444444198E-4</v>
      </c>
      <c r="G213" s="4">
        <f t="shared" si="37"/>
        <v>1103</v>
      </c>
      <c r="H213" s="2">
        <f t="shared" si="38"/>
        <v>6.9444444444444198E-4</v>
      </c>
      <c r="I213" s="4">
        <f>HOUR(H213)*60+MINUTE(H213)</f>
        <v>1</v>
      </c>
      <c r="J213" s="4">
        <f t="shared" si="39"/>
        <v>10</v>
      </c>
    </row>
    <row r="214" spans="1:10">
      <c r="A214" s="2">
        <v>0.76597222222222228</v>
      </c>
      <c r="B214" s="2">
        <v>0.76666666666666672</v>
      </c>
      <c r="C214" s="2">
        <v>0.76875000000000004</v>
      </c>
      <c r="D214" s="3" t="s">
        <v>46</v>
      </c>
      <c r="E214" s="3" t="s">
        <v>47</v>
      </c>
      <c r="F214" s="2">
        <f t="shared" si="36"/>
        <v>2.0833333333333259E-3</v>
      </c>
      <c r="G214" s="4">
        <f t="shared" si="37"/>
        <v>1103</v>
      </c>
      <c r="H214" s="2">
        <f t="shared" si="38"/>
        <v>2.0833333333333259E-3</v>
      </c>
      <c r="I214" s="4">
        <f>HOUR(H214)*60+MINUTE(H214)</f>
        <v>3</v>
      </c>
      <c r="J214" s="4">
        <f t="shared" si="39"/>
        <v>0</v>
      </c>
    </row>
    <row r="215" spans="1:10">
      <c r="A215" s="2">
        <v>0.77638888888888891</v>
      </c>
      <c r="B215" s="2">
        <v>0.77638888888888891</v>
      </c>
      <c r="C215" s="2">
        <v>0.77847222222222223</v>
      </c>
      <c r="D215" s="3" t="s">
        <v>46</v>
      </c>
      <c r="E215" s="3" t="s">
        <v>47</v>
      </c>
      <c r="F215" s="2">
        <f t="shared" si="36"/>
        <v>2.0833333333333259E-3</v>
      </c>
      <c r="G215" s="4">
        <f t="shared" si="37"/>
        <v>1118</v>
      </c>
      <c r="H215" s="2">
        <f t="shared" si="38"/>
        <v>2.0833333333333259E-3</v>
      </c>
      <c r="I215" s="4">
        <f>HOUR(H215)*60+MINUTE(H215)</f>
        <v>3</v>
      </c>
      <c r="J215" s="4">
        <f t="shared" si="39"/>
        <v>15</v>
      </c>
    </row>
    <row r="216" spans="1:10">
      <c r="A216" s="2">
        <v>0.78125</v>
      </c>
      <c r="B216" s="2">
        <v>0.78125</v>
      </c>
      <c r="C216" s="2">
        <v>0.78263888888888888</v>
      </c>
      <c r="D216" s="3" t="s">
        <v>46</v>
      </c>
      <c r="E216" s="3" t="s">
        <v>47</v>
      </c>
      <c r="F216" s="2">
        <f t="shared" si="36"/>
        <v>1.388888888888884E-3</v>
      </c>
      <c r="G216" s="4">
        <f t="shared" si="37"/>
        <v>1125</v>
      </c>
      <c r="H216" s="2">
        <f t="shared" si="38"/>
        <v>1.388888888888884E-3</v>
      </c>
      <c r="I216" s="4">
        <f>HOUR(H216)*60+MINUTE(H216)</f>
        <v>2</v>
      </c>
      <c r="J216" s="4">
        <f t="shared" si="39"/>
        <v>7</v>
      </c>
    </row>
    <row r="217" spans="1:10">
      <c r="A217" s="2">
        <v>0.78472222222222221</v>
      </c>
      <c r="B217" s="2">
        <v>0.78472222222222221</v>
      </c>
      <c r="C217" s="2">
        <v>0.78680555555555554</v>
      </c>
      <c r="D217" s="3" t="s">
        <v>46</v>
      </c>
      <c r="E217" s="3" t="s">
        <v>47</v>
      </c>
      <c r="F217" s="2">
        <f t="shared" si="36"/>
        <v>2.0833333333333259E-3</v>
      </c>
      <c r="G217" s="4">
        <f t="shared" si="37"/>
        <v>1130</v>
      </c>
      <c r="H217" s="2">
        <f t="shared" si="38"/>
        <v>2.0833333333333259E-3</v>
      </c>
      <c r="I217" s="4">
        <f>HOUR(H217)*60+MINUTE(H217)</f>
        <v>3</v>
      </c>
      <c r="J217" s="4">
        <f t="shared" si="39"/>
        <v>5</v>
      </c>
    </row>
    <row r="218" spans="1:10">
      <c r="A218" s="2">
        <v>0.79097222222222219</v>
      </c>
      <c r="B218" s="2">
        <v>0.79097222222222219</v>
      </c>
      <c r="C218" s="2">
        <v>0.79097222222222219</v>
      </c>
      <c r="D218" s="3" t="s">
        <v>46</v>
      </c>
      <c r="E218" s="3" t="s">
        <v>47</v>
      </c>
      <c r="F218" s="2">
        <f t="shared" si="36"/>
        <v>0</v>
      </c>
      <c r="G218" s="4">
        <f t="shared" si="37"/>
        <v>1139</v>
      </c>
      <c r="H218" s="2">
        <f t="shared" si="38"/>
        <v>0</v>
      </c>
      <c r="I218" s="4">
        <f>HOUR(H218)*60+MINUTE(H218)</f>
        <v>0</v>
      </c>
      <c r="J218" s="4">
        <f t="shared" si="39"/>
        <v>9</v>
      </c>
    </row>
    <row r="219" spans="1:10">
      <c r="A219" s="2">
        <v>0.79583333333333328</v>
      </c>
      <c r="B219" s="2">
        <v>0.79583333333333328</v>
      </c>
      <c r="C219" s="2">
        <v>0.79583333333333328</v>
      </c>
      <c r="D219" s="3" t="s">
        <v>46</v>
      </c>
      <c r="E219" s="3" t="s">
        <v>47</v>
      </c>
      <c r="F219" s="2">
        <f t="shared" si="36"/>
        <v>0</v>
      </c>
      <c r="G219" s="4">
        <f t="shared" si="37"/>
        <v>1146</v>
      </c>
      <c r="H219" s="2">
        <f t="shared" si="38"/>
        <v>0</v>
      </c>
      <c r="I219" s="4">
        <f>HOUR(H219)*60+MINUTE(H219)</f>
        <v>0</v>
      </c>
      <c r="J219" s="4">
        <f t="shared" si="39"/>
        <v>7</v>
      </c>
    </row>
    <row r="220" spans="1:10">
      <c r="A220" s="2">
        <v>0.79652777777777772</v>
      </c>
      <c r="B220" s="2">
        <v>0.79652777777777772</v>
      </c>
      <c r="C220" s="2">
        <v>0.80138888888888893</v>
      </c>
      <c r="D220" s="3" t="s">
        <v>46</v>
      </c>
      <c r="E220" s="3" t="s">
        <v>47</v>
      </c>
      <c r="F220" s="2">
        <f t="shared" si="36"/>
        <v>4.8611111111112049E-3</v>
      </c>
      <c r="G220" s="4">
        <f t="shared" si="37"/>
        <v>1147</v>
      </c>
      <c r="H220" s="2">
        <f t="shared" si="38"/>
        <v>4.8611111111112049E-3</v>
      </c>
      <c r="I220" s="4">
        <f>HOUR(H220)*60+MINUTE(H220)</f>
        <v>7</v>
      </c>
      <c r="J220" s="4">
        <f t="shared" si="39"/>
        <v>1</v>
      </c>
    </row>
    <row r="221" spans="1:10">
      <c r="A221" s="2">
        <v>0.80347222222222225</v>
      </c>
      <c r="B221" s="2">
        <v>0.80347222222222225</v>
      </c>
      <c r="C221" s="2">
        <v>0.80486111111111114</v>
      </c>
      <c r="D221" s="3" t="s">
        <v>46</v>
      </c>
      <c r="E221" s="3" t="s">
        <v>47</v>
      </c>
      <c r="F221" s="2">
        <f t="shared" si="36"/>
        <v>1.388888888888884E-3</v>
      </c>
      <c r="G221" s="4">
        <f t="shared" si="37"/>
        <v>1157</v>
      </c>
      <c r="H221" s="2">
        <f t="shared" si="38"/>
        <v>1.388888888888884E-3</v>
      </c>
      <c r="I221" s="4">
        <f>HOUR(H221)*60+MINUTE(H221)</f>
        <v>2</v>
      </c>
      <c r="J221" s="4">
        <f t="shared" si="39"/>
        <v>10</v>
      </c>
    </row>
    <row r="222" spans="1:10">
      <c r="A222" s="2">
        <v>0.80625000000000002</v>
      </c>
      <c r="B222" s="2">
        <v>0.80625000000000002</v>
      </c>
      <c r="C222" s="2">
        <v>0.80625000000000002</v>
      </c>
      <c r="D222" s="3" t="s">
        <v>46</v>
      </c>
      <c r="E222" s="3" t="s">
        <v>47</v>
      </c>
      <c r="F222" s="2">
        <f t="shared" si="36"/>
        <v>0</v>
      </c>
      <c r="G222" s="4">
        <f t="shared" si="37"/>
        <v>1161</v>
      </c>
      <c r="H222" s="2">
        <f t="shared" si="38"/>
        <v>0</v>
      </c>
      <c r="I222" s="4">
        <f>HOUR(H222)*60+MINUTE(H222)</f>
        <v>0</v>
      </c>
      <c r="J222" s="4">
        <f t="shared" si="39"/>
        <v>4</v>
      </c>
    </row>
    <row r="223" spans="1:10">
      <c r="A223" s="2">
        <v>0.81111111111111112</v>
      </c>
      <c r="B223" s="2">
        <v>0.81111111111111112</v>
      </c>
      <c r="C223" s="2">
        <v>0.81319444444444444</v>
      </c>
      <c r="D223" s="3" t="s">
        <v>46</v>
      </c>
      <c r="E223" s="3" t="s">
        <v>47</v>
      </c>
      <c r="F223" s="2">
        <f t="shared" si="36"/>
        <v>2.0833333333333259E-3</v>
      </c>
      <c r="G223" s="4">
        <f t="shared" si="37"/>
        <v>1168</v>
      </c>
      <c r="H223" s="2">
        <f t="shared" si="38"/>
        <v>2.0833333333333259E-3</v>
      </c>
      <c r="I223" s="4">
        <f>HOUR(H223)*60+MINUTE(H223)</f>
        <v>3</v>
      </c>
      <c r="J223" s="4">
        <f t="shared" si="39"/>
        <v>7</v>
      </c>
    </row>
    <row r="224" spans="1:10">
      <c r="A224" s="2">
        <v>0.81805555555555554</v>
      </c>
      <c r="B224" s="2">
        <v>0.81805555555555554</v>
      </c>
      <c r="C224" s="2">
        <v>0.82222222222222219</v>
      </c>
      <c r="D224" s="3" t="s">
        <v>46</v>
      </c>
      <c r="E224" s="3" t="s">
        <v>47</v>
      </c>
      <c r="F224" s="2">
        <f t="shared" si="36"/>
        <v>4.1666666666666519E-3</v>
      </c>
      <c r="G224" s="4">
        <f t="shared" si="37"/>
        <v>1178</v>
      </c>
      <c r="H224" s="2">
        <f t="shared" si="38"/>
        <v>4.1666666666666519E-3</v>
      </c>
      <c r="I224" s="4">
        <f>HOUR(H224)*60+MINUTE(H224)</f>
        <v>6</v>
      </c>
      <c r="J224" s="4">
        <f t="shared" si="39"/>
        <v>10</v>
      </c>
    </row>
    <row r="225" spans="1:10">
      <c r="A225" s="2">
        <v>0.8208333333333333</v>
      </c>
      <c r="B225" s="2">
        <v>0.82222222222222219</v>
      </c>
      <c r="C225" s="2">
        <v>0.82291666666666663</v>
      </c>
      <c r="D225" s="3" t="s">
        <v>46</v>
      </c>
      <c r="E225" s="3" t="s">
        <v>47</v>
      </c>
      <c r="F225" s="2">
        <f t="shared" si="36"/>
        <v>6.9444444444444198E-4</v>
      </c>
      <c r="G225" s="4">
        <f t="shared" si="37"/>
        <v>1182</v>
      </c>
      <c r="H225" s="2">
        <f t="shared" si="38"/>
        <v>6.9444444444444198E-4</v>
      </c>
      <c r="I225" s="4">
        <f>HOUR(H225)*60+MINUTE(H225)</f>
        <v>1</v>
      </c>
      <c r="J225" s="4">
        <f t="shared" si="39"/>
        <v>4</v>
      </c>
    </row>
    <row r="226" spans="1:10">
      <c r="A226" s="2">
        <v>0.82222222222222219</v>
      </c>
      <c r="B226" s="2">
        <v>0.82291666666666663</v>
      </c>
      <c r="C226" s="2">
        <v>0.82291666666666663</v>
      </c>
      <c r="D226" s="3" t="s">
        <v>46</v>
      </c>
      <c r="E226" s="3" t="s">
        <v>47</v>
      </c>
      <c r="F226" s="2">
        <f t="shared" si="36"/>
        <v>0</v>
      </c>
      <c r="G226" s="4">
        <f t="shared" si="37"/>
        <v>1184</v>
      </c>
      <c r="H226" s="2">
        <f t="shared" si="38"/>
        <v>0</v>
      </c>
      <c r="I226" s="4">
        <f>HOUR(H226)*60+MINUTE(H226)</f>
        <v>0</v>
      </c>
      <c r="J226" s="4">
        <f t="shared" si="39"/>
        <v>2</v>
      </c>
    </row>
    <row r="227" spans="1:10">
      <c r="A227" s="2">
        <v>0.82777777777777772</v>
      </c>
      <c r="B227" s="2">
        <v>0.82777777777777772</v>
      </c>
      <c r="C227" s="2">
        <v>0.82986111111111116</v>
      </c>
      <c r="D227" s="3" t="s">
        <v>46</v>
      </c>
      <c r="E227" s="3" t="s">
        <v>47</v>
      </c>
      <c r="F227" s="2">
        <f t="shared" si="36"/>
        <v>2.083333333333437E-3</v>
      </c>
      <c r="G227" s="4">
        <f t="shared" si="37"/>
        <v>1192</v>
      </c>
      <c r="H227" s="2">
        <f t="shared" si="38"/>
        <v>2.083333333333437E-3</v>
      </c>
      <c r="I227" s="4">
        <f>HOUR(H227)*60+MINUTE(H227)</f>
        <v>3</v>
      </c>
      <c r="J227" s="4">
        <f t="shared" si="39"/>
        <v>8</v>
      </c>
    </row>
    <row r="228" spans="1:10">
      <c r="A228" s="2">
        <v>0.83402777777777781</v>
      </c>
      <c r="B228" s="2">
        <v>0.83402777777777781</v>
      </c>
      <c r="C228" s="2">
        <v>0.83611111111111114</v>
      </c>
      <c r="D228" s="3" t="s">
        <v>46</v>
      </c>
      <c r="E228" s="3" t="s">
        <v>47</v>
      </c>
      <c r="F228" s="2">
        <f t="shared" si="36"/>
        <v>2.0833333333333259E-3</v>
      </c>
      <c r="G228" s="4">
        <f t="shared" si="37"/>
        <v>1201</v>
      </c>
      <c r="H228" s="2">
        <f t="shared" si="38"/>
        <v>2.0833333333333259E-3</v>
      </c>
      <c r="I228" s="4">
        <f>HOUR(H228)*60+MINUTE(H228)</f>
        <v>3</v>
      </c>
      <c r="J228" s="4">
        <f t="shared" si="39"/>
        <v>9</v>
      </c>
    </row>
    <row r="229" spans="1:10">
      <c r="A229" s="2">
        <v>0.83611111111111114</v>
      </c>
      <c r="B229" s="2">
        <v>0.83611111111111114</v>
      </c>
      <c r="C229" s="2">
        <v>0.83958333333333335</v>
      </c>
      <c r="D229" s="3" t="s">
        <v>46</v>
      </c>
      <c r="E229" s="3" t="s">
        <v>47</v>
      </c>
      <c r="F229" s="2">
        <f t="shared" si="36"/>
        <v>3.4722222222222099E-3</v>
      </c>
      <c r="G229" s="4">
        <f t="shared" si="37"/>
        <v>1204</v>
      </c>
      <c r="H229" s="2">
        <f t="shared" si="38"/>
        <v>3.4722222222222099E-3</v>
      </c>
      <c r="I229" s="4">
        <f>HOUR(H229)*60+MINUTE(H229)</f>
        <v>5</v>
      </c>
      <c r="J229" s="4">
        <f t="shared" si="39"/>
        <v>3</v>
      </c>
    </row>
    <row r="230" spans="1:10">
      <c r="A230" s="2">
        <v>0.83888888888888891</v>
      </c>
      <c r="B230" s="2">
        <v>0.83958333333333335</v>
      </c>
      <c r="C230" s="2">
        <v>0.84166666666666667</v>
      </c>
      <c r="D230" s="3" t="s">
        <v>46</v>
      </c>
      <c r="E230" s="3" t="s">
        <v>47</v>
      </c>
      <c r="F230" s="2">
        <f t="shared" si="36"/>
        <v>2.0833333333333259E-3</v>
      </c>
      <c r="G230" s="4">
        <f t="shared" si="37"/>
        <v>1208</v>
      </c>
      <c r="H230" s="2">
        <f t="shared" si="38"/>
        <v>2.0833333333333259E-3</v>
      </c>
      <c r="I230" s="4">
        <f>HOUR(H230)*60+MINUTE(H230)</f>
        <v>3</v>
      </c>
      <c r="J230" s="4">
        <f t="shared" si="39"/>
        <v>4</v>
      </c>
    </row>
    <row r="231" spans="1:10">
      <c r="A231" s="2">
        <v>0.83888888888888891</v>
      </c>
      <c r="B231" s="2">
        <v>0.84166666666666667</v>
      </c>
      <c r="C231" s="2">
        <v>0.84305555555555556</v>
      </c>
      <c r="D231" s="3" t="s">
        <v>46</v>
      </c>
      <c r="E231" s="3" t="s">
        <v>47</v>
      </c>
      <c r="F231" s="2">
        <f t="shared" si="36"/>
        <v>1.388888888888884E-3</v>
      </c>
      <c r="G231" s="4">
        <f t="shared" si="37"/>
        <v>1208</v>
      </c>
      <c r="H231" s="2">
        <f t="shared" si="38"/>
        <v>1.388888888888884E-3</v>
      </c>
      <c r="I231" s="4">
        <f>HOUR(H231)*60+MINUTE(H231)</f>
        <v>2</v>
      </c>
      <c r="J231" s="4">
        <f t="shared" si="39"/>
        <v>0</v>
      </c>
    </row>
    <row r="232" spans="1:10">
      <c r="A232" s="2">
        <v>0.84027777777777779</v>
      </c>
      <c r="B232" s="2">
        <v>0.84305555555555556</v>
      </c>
      <c r="C232" s="2">
        <v>0.84722222222222221</v>
      </c>
      <c r="D232" s="3" t="s">
        <v>46</v>
      </c>
      <c r="E232" s="3" t="s">
        <v>47</v>
      </c>
      <c r="F232" s="2">
        <f t="shared" si="36"/>
        <v>4.1666666666666519E-3</v>
      </c>
      <c r="G232" s="4">
        <f t="shared" si="37"/>
        <v>1210</v>
      </c>
      <c r="H232" s="2">
        <f t="shared" si="38"/>
        <v>4.1666666666666519E-3</v>
      </c>
      <c r="I232" s="4">
        <f>HOUR(H232)*60+MINUTE(H232)</f>
        <v>6</v>
      </c>
      <c r="J232" s="4">
        <f t="shared" si="39"/>
        <v>2</v>
      </c>
    </row>
    <row r="233" spans="1:10">
      <c r="A233" s="2">
        <v>0.84930555555555554</v>
      </c>
      <c r="B233" s="2">
        <v>0.84930555555555554</v>
      </c>
      <c r="C233" s="2">
        <v>0.85</v>
      </c>
      <c r="D233" s="3" t="s">
        <v>46</v>
      </c>
      <c r="E233" s="3" t="s">
        <v>47</v>
      </c>
      <c r="F233" s="2">
        <f t="shared" si="36"/>
        <v>6.9444444444444198E-4</v>
      </c>
      <c r="G233" s="4">
        <f t="shared" si="37"/>
        <v>1223</v>
      </c>
      <c r="H233" s="2">
        <f t="shared" si="38"/>
        <v>6.9444444444444198E-4</v>
      </c>
      <c r="I233" s="4">
        <f>HOUR(H233)*60+MINUTE(H233)</f>
        <v>1</v>
      </c>
      <c r="J233" s="4">
        <f t="shared" si="39"/>
        <v>13</v>
      </c>
    </row>
    <row r="234" spans="1:10">
      <c r="A234" s="2">
        <v>0.85069444444444442</v>
      </c>
      <c r="B234" s="2">
        <v>0.85069444444444442</v>
      </c>
      <c r="C234" s="2">
        <v>0.8520833333333333</v>
      </c>
      <c r="D234" s="3" t="s">
        <v>46</v>
      </c>
      <c r="E234" s="3" t="s">
        <v>47</v>
      </c>
      <c r="F234" s="2">
        <f t="shared" si="36"/>
        <v>1.388888888888884E-3</v>
      </c>
      <c r="G234" s="4">
        <f t="shared" si="37"/>
        <v>1225</v>
      </c>
      <c r="H234" s="2">
        <f t="shared" si="38"/>
        <v>1.388888888888884E-3</v>
      </c>
      <c r="I234" s="4">
        <f>HOUR(H234)*60+MINUTE(H234)</f>
        <v>2</v>
      </c>
      <c r="J234" s="4">
        <f t="shared" si="39"/>
        <v>2</v>
      </c>
    </row>
    <row r="235" spans="1:10">
      <c r="A235" s="2">
        <v>0.85277777777777775</v>
      </c>
      <c r="B235" s="2">
        <v>0.85277777777777775</v>
      </c>
      <c r="C235" s="2">
        <v>0.85277777777777775</v>
      </c>
      <c r="D235" s="3" t="s">
        <v>46</v>
      </c>
      <c r="E235" s="3" t="s">
        <v>47</v>
      </c>
      <c r="F235" s="2">
        <f t="shared" si="36"/>
        <v>0</v>
      </c>
      <c r="G235" s="4">
        <f t="shared" si="37"/>
        <v>1228</v>
      </c>
      <c r="H235" s="2">
        <f t="shared" si="38"/>
        <v>0</v>
      </c>
      <c r="I235" s="4">
        <f>HOUR(H235)*60+MINUTE(H235)</f>
        <v>0</v>
      </c>
      <c r="J235" s="4">
        <f t="shared" si="39"/>
        <v>3</v>
      </c>
    </row>
    <row r="236" spans="1:10">
      <c r="A236" s="2">
        <v>0.85624999999999996</v>
      </c>
      <c r="B236" s="2">
        <v>0.85624999999999996</v>
      </c>
      <c r="C236" s="2">
        <v>0.8569444444444444</v>
      </c>
      <c r="D236" s="3" t="s">
        <v>46</v>
      </c>
      <c r="E236" s="3" t="s">
        <v>47</v>
      </c>
      <c r="F236" s="2">
        <f t="shared" si="36"/>
        <v>6.9444444444444198E-4</v>
      </c>
      <c r="G236" s="4">
        <f t="shared" si="37"/>
        <v>1233</v>
      </c>
      <c r="H236" s="2">
        <f t="shared" si="38"/>
        <v>6.9444444444444198E-4</v>
      </c>
      <c r="I236" s="4">
        <f>HOUR(H236)*60+MINUTE(H236)</f>
        <v>1</v>
      </c>
      <c r="J236" s="4">
        <f t="shared" si="39"/>
        <v>5</v>
      </c>
    </row>
    <row r="237" spans="1:10">
      <c r="A237" s="2">
        <v>0.85763888888888884</v>
      </c>
      <c r="B237" s="2">
        <v>0.85763888888888884</v>
      </c>
      <c r="C237" s="2">
        <v>0.86736111111111114</v>
      </c>
      <c r="D237" s="3" t="s">
        <v>46</v>
      </c>
      <c r="E237" s="3" t="s">
        <v>47</v>
      </c>
      <c r="F237" s="2">
        <f t="shared" si="36"/>
        <v>9.7222222222222987E-3</v>
      </c>
      <c r="G237" s="4">
        <f t="shared" si="37"/>
        <v>1235</v>
      </c>
      <c r="H237" s="2">
        <f t="shared" si="38"/>
        <v>9.7222222222222987E-3</v>
      </c>
      <c r="I237" s="4">
        <f>HOUR(H237)*60+MINUTE(H237)</f>
        <v>14</v>
      </c>
      <c r="J237" s="4">
        <f t="shared" si="39"/>
        <v>2</v>
      </c>
    </row>
    <row r="238" spans="1:10">
      <c r="A238" s="2">
        <v>0.86875000000000002</v>
      </c>
      <c r="B238" s="2">
        <v>0.86875000000000002</v>
      </c>
      <c r="C238" s="2">
        <v>0.87430555555555556</v>
      </c>
      <c r="D238" s="3" t="s">
        <v>46</v>
      </c>
      <c r="E238" s="3" t="s">
        <v>47</v>
      </c>
      <c r="F238" s="2">
        <f t="shared" si="36"/>
        <v>5.5555555555555358E-3</v>
      </c>
      <c r="G238" s="4">
        <f t="shared" si="37"/>
        <v>1251</v>
      </c>
      <c r="H238" s="2">
        <f t="shared" si="38"/>
        <v>5.5555555555555358E-3</v>
      </c>
      <c r="I238" s="4">
        <f>HOUR(H238)*60+MINUTE(H238)</f>
        <v>8</v>
      </c>
      <c r="J238" s="4">
        <f t="shared" si="39"/>
        <v>16</v>
      </c>
    </row>
    <row r="239" spans="1:10">
      <c r="A239" s="2">
        <v>0.87916666666666665</v>
      </c>
      <c r="B239" s="2">
        <v>0.87916666666666665</v>
      </c>
      <c r="C239" s="2">
        <v>0.88263888888888886</v>
      </c>
      <c r="D239" s="3" t="s">
        <v>46</v>
      </c>
      <c r="E239" s="3" t="s">
        <v>47</v>
      </c>
      <c r="F239" s="2">
        <f t="shared" si="36"/>
        <v>3.4722222222222099E-3</v>
      </c>
      <c r="G239" s="4">
        <f t="shared" si="37"/>
        <v>1266</v>
      </c>
      <c r="H239" s="2">
        <f t="shared" si="38"/>
        <v>3.4722222222222099E-3</v>
      </c>
      <c r="I239" s="4">
        <f>HOUR(H239)*60+MINUTE(H239)</f>
        <v>5</v>
      </c>
      <c r="J239" s="4">
        <f t="shared" si="39"/>
        <v>15</v>
      </c>
    </row>
    <row r="240" spans="1:10">
      <c r="A240" s="2">
        <v>0.8833333333333333</v>
      </c>
      <c r="B240" s="2">
        <v>0.8833333333333333</v>
      </c>
      <c r="C240" s="2">
        <v>0.88402777777777775</v>
      </c>
      <c r="D240" s="3" t="s">
        <v>46</v>
      </c>
      <c r="E240" s="3" t="s">
        <v>47</v>
      </c>
      <c r="F240" s="2">
        <f t="shared" si="36"/>
        <v>6.9444444444444198E-4</v>
      </c>
      <c r="G240" s="4">
        <f t="shared" si="37"/>
        <v>1272</v>
      </c>
      <c r="H240" s="2">
        <f t="shared" si="38"/>
        <v>6.9444444444444198E-4</v>
      </c>
      <c r="I240" s="4">
        <f>HOUR(H240)*60+MINUTE(H240)</f>
        <v>1</v>
      </c>
      <c r="J240" s="4">
        <f t="shared" si="39"/>
        <v>6</v>
      </c>
    </row>
    <row r="241" spans="1:10">
      <c r="A241" s="2">
        <v>0.88472222222222219</v>
      </c>
      <c r="B241" s="2">
        <v>0.88472222222222219</v>
      </c>
      <c r="C241" s="2">
        <v>0.88541666666666663</v>
      </c>
      <c r="D241" s="3" t="s">
        <v>46</v>
      </c>
      <c r="E241" s="3" t="s">
        <v>47</v>
      </c>
      <c r="F241" s="2">
        <f t="shared" si="36"/>
        <v>6.9444444444444198E-4</v>
      </c>
      <c r="G241" s="4">
        <f t="shared" si="37"/>
        <v>1274</v>
      </c>
      <c r="H241" s="2">
        <f t="shared" si="38"/>
        <v>6.9444444444444198E-4</v>
      </c>
      <c r="I241" s="4">
        <f>HOUR(H241)*60+MINUTE(H241)</f>
        <v>1</v>
      </c>
      <c r="J241" s="4">
        <f t="shared" si="39"/>
        <v>2</v>
      </c>
    </row>
    <row r="242" spans="1:10">
      <c r="A242" s="2">
        <v>0.88749999999999996</v>
      </c>
      <c r="B242" s="2">
        <v>0.88749999999999996</v>
      </c>
      <c r="C242" s="2">
        <v>0.89097222222222228</v>
      </c>
      <c r="D242" s="3" t="s">
        <v>46</v>
      </c>
      <c r="E242" s="3" t="s">
        <v>47</v>
      </c>
      <c r="F242" s="2">
        <f t="shared" si="36"/>
        <v>3.4722222222223209E-3</v>
      </c>
      <c r="G242" s="4">
        <f t="shared" si="37"/>
        <v>1278</v>
      </c>
      <c r="H242" s="2">
        <f t="shared" si="38"/>
        <v>3.4722222222223209E-3</v>
      </c>
      <c r="I242" s="4">
        <f>HOUR(H242)*60+MINUTE(H242)</f>
        <v>5</v>
      </c>
      <c r="J242" s="4">
        <f t="shared" si="39"/>
        <v>4</v>
      </c>
    </row>
    <row r="243" spans="1:10">
      <c r="A243" s="2">
        <v>0.89027777777777772</v>
      </c>
      <c r="B243" s="2">
        <v>0.89097222222222228</v>
      </c>
      <c r="C243" s="2">
        <v>0.89236111111111116</v>
      </c>
      <c r="D243" s="3" t="s">
        <v>46</v>
      </c>
      <c r="E243" s="3" t="s">
        <v>47</v>
      </c>
      <c r="F243" s="2">
        <f t="shared" ref="F243:F262" si="40">C243-B243</f>
        <v>1.388888888888884E-3</v>
      </c>
      <c r="G243" s="4">
        <f t="shared" ref="G243:G262" si="41">HOUR(A243)*60+MINUTE(A243)</f>
        <v>1282</v>
      </c>
      <c r="H243" s="2">
        <f t="shared" ref="H243:H262" si="42">C243-B243</f>
        <v>1.388888888888884E-3</v>
      </c>
      <c r="I243" s="4">
        <f>HOUR(H243)*60+MINUTE(H243)</f>
        <v>2</v>
      </c>
      <c r="J243" s="4">
        <f t="shared" si="39"/>
        <v>4</v>
      </c>
    </row>
    <row r="244" spans="1:10">
      <c r="A244" s="2">
        <v>0.89097222222222228</v>
      </c>
      <c r="B244" s="2">
        <v>0.89236111111111116</v>
      </c>
      <c r="C244" s="2">
        <v>0.90069444444444446</v>
      </c>
      <c r="D244" s="3" t="s">
        <v>46</v>
      </c>
      <c r="E244" s="3" t="s">
        <v>47</v>
      </c>
      <c r="F244" s="2">
        <f t="shared" si="40"/>
        <v>8.3333333333333037E-3</v>
      </c>
      <c r="G244" s="4">
        <f t="shared" si="41"/>
        <v>1283</v>
      </c>
      <c r="H244" s="2">
        <f t="shared" si="42"/>
        <v>8.3333333333333037E-3</v>
      </c>
      <c r="I244" s="4">
        <f>HOUR(H244)*60+MINUTE(H244)</f>
        <v>12</v>
      </c>
      <c r="J244" s="4">
        <f t="shared" si="39"/>
        <v>1</v>
      </c>
    </row>
    <row r="245" spans="1:10">
      <c r="A245" s="2">
        <v>0.89930555555555558</v>
      </c>
      <c r="B245" s="2">
        <v>0.90069444444444446</v>
      </c>
      <c r="C245" s="2">
        <v>0.90277777777777779</v>
      </c>
      <c r="D245" s="3" t="s">
        <v>46</v>
      </c>
      <c r="E245" s="3" t="s">
        <v>47</v>
      </c>
      <c r="F245" s="2">
        <f t="shared" si="40"/>
        <v>2.0833333333333259E-3</v>
      </c>
      <c r="G245" s="4">
        <f t="shared" si="41"/>
        <v>1295</v>
      </c>
      <c r="H245" s="2">
        <f t="shared" si="42"/>
        <v>2.0833333333333259E-3</v>
      </c>
      <c r="I245" s="4">
        <f>HOUR(H245)*60+MINUTE(H245)</f>
        <v>3</v>
      </c>
      <c r="J245" s="4">
        <f t="shared" ref="J245:J262" si="43">G245-G244</f>
        <v>12</v>
      </c>
    </row>
    <row r="246" spans="1:10">
      <c r="A246" s="2">
        <v>0.90208333333333335</v>
      </c>
      <c r="B246" s="2">
        <v>0.90277777777777779</v>
      </c>
      <c r="C246" s="2">
        <v>0.90416666666666667</v>
      </c>
      <c r="D246" s="3" t="s">
        <v>46</v>
      </c>
      <c r="E246" s="3" t="s">
        <v>47</v>
      </c>
      <c r="F246" s="2">
        <f t="shared" si="40"/>
        <v>1.388888888888884E-3</v>
      </c>
      <c r="G246" s="4">
        <f t="shared" si="41"/>
        <v>1299</v>
      </c>
      <c r="H246" s="2">
        <f t="shared" si="42"/>
        <v>1.388888888888884E-3</v>
      </c>
      <c r="I246" s="4">
        <f>HOUR(H246)*60+MINUTE(H246)</f>
        <v>2</v>
      </c>
      <c r="J246" s="4">
        <f t="shared" si="43"/>
        <v>4</v>
      </c>
    </row>
    <row r="247" spans="1:10">
      <c r="A247" s="2">
        <v>0.91527777777777775</v>
      </c>
      <c r="B247" s="2">
        <v>0.91527777777777775</v>
      </c>
      <c r="C247" s="2">
        <v>0.91597222222222219</v>
      </c>
      <c r="D247" s="3" t="s">
        <v>46</v>
      </c>
      <c r="E247" s="3" t="s">
        <v>47</v>
      </c>
      <c r="F247" s="2">
        <f t="shared" si="40"/>
        <v>6.9444444444444198E-4</v>
      </c>
      <c r="G247" s="4">
        <f t="shared" si="41"/>
        <v>1318</v>
      </c>
      <c r="H247" s="2">
        <f t="shared" si="42"/>
        <v>6.9444444444444198E-4</v>
      </c>
      <c r="I247" s="4">
        <f>HOUR(H247)*60+MINUTE(H247)</f>
        <v>1</v>
      </c>
      <c r="J247" s="4">
        <f t="shared" si="43"/>
        <v>19</v>
      </c>
    </row>
    <row r="248" spans="1:10">
      <c r="A248" s="2">
        <v>0.91597222222222219</v>
      </c>
      <c r="B248" s="2">
        <v>0.91597222222222219</v>
      </c>
      <c r="C248" s="2">
        <v>0.91736111111111107</v>
      </c>
      <c r="D248" s="3" t="s">
        <v>46</v>
      </c>
      <c r="E248" s="3" t="s">
        <v>47</v>
      </c>
      <c r="F248" s="2">
        <f t="shared" si="40"/>
        <v>1.388888888888884E-3</v>
      </c>
      <c r="G248" s="4">
        <f t="shared" si="41"/>
        <v>1319</v>
      </c>
      <c r="H248" s="2">
        <f t="shared" si="42"/>
        <v>1.388888888888884E-3</v>
      </c>
      <c r="I248" s="4">
        <f>HOUR(H248)*60+MINUTE(H248)</f>
        <v>2</v>
      </c>
      <c r="J248" s="4">
        <f t="shared" si="43"/>
        <v>1</v>
      </c>
    </row>
    <row r="249" spans="1:10">
      <c r="A249" s="2">
        <v>0.9194444444444444</v>
      </c>
      <c r="B249" s="2">
        <v>0.9194444444444444</v>
      </c>
      <c r="C249" s="2">
        <v>0.92361111111111116</v>
      </c>
      <c r="D249" s="3" t="s">
        <v>46</v>
      </c>
      <c r="E249" s="3" t="s">
        <v>47</v>
      </c>
      <c r="F249" s="2">
        <f t="shared" si="40"/>
        <v>4.1666666666667629E-3</v>
      </c>
      <c r="G249" s="4">
        <f t="shared" si="41"/>
        <v>1324</v>
      </c>
      <c r="H249" s="2">
        <f t="shared" si="42"/>
        <v>4.1666666666667629E-3</v>
      </c>
      <c r="I249" s="4">
        <f>HOUR(H249)*60+MINUTE(H249)</f>
        <v>6</v>
      </c>
      <c r="J249" s="4">
        <f t="shared" si="43"/>
        <v>5</v>
      </c>
    </row>
    <row r="250" spans="1:10">
      <c r="A250" s="2">
        <v>0.9243055555555556</v>
      </c>
      <c r="B250" s="2">
        <v>0.9243055555555556</v>
      </c>
      <c r="C250" s="2">
        <v>0.9243055555555556</v>
      </c>
      <c r="D250" s="3" t="s">
        <v>46</v>
      </c>
      <c r="E250" s="3" t="s">
        <v>47</v>
      </c>
      <c r="F250" s="2">
        <f t="shared" si="40"/>
        <v>0</v>
      </c>
      <c r="G250" s="4">
        <f t="shared" si="41"/>
        <v>1331</v>
      </c>
      <c r="H250" s="2">
        <f t="shared" si="42"/>
        <v>0</v>
      </c>
      <c r="I250" s="4">
        <f>HOUR(H250)*60+MINUTE(H250)</f>
        <v>0</v>
      </c>
      <c r="J250" s="4">
        <f t="shared" si="43"/>
        <v>7</v>
      </c>
    </row>
    <row r="251" spans="1:10">
      <c r="A251" s="2">
        <v>0.92500000000000004</v>
      </c>
      <c r="B251" s="2">
        <v>0.92500000000000004</v>
      </c>
      <c r="C251" s="2">
        <v>0.92500000000000004</v>
      </c>
      <c r="D251" s="3" t="s">
        <v>46</v>
      </c>
      <c r="E251" s="3" t="s">
        <v>47</v>
      </c>
      <c r="F251" s="2">
        <f t="shared" si="40"/>
        <v>0</v>
      </c>
      <c r="G251" s="4">
        <f t="shared" si="41"/>
        <v>1332</v>
      </c>
      <c r="H251" s="2">
        <f t="shared" si="42"/>
        <v>0</v>
      </c>
      <c r="I251" s="4">
        <f>HOUR(H251)*60+MINUTE(H251)</f>
        <v>0</v>
      </c>
      <c r="J251" s="4">
        <f t="shared" si="43"/>
        <v>1</v>
      </c>
    </row>
    <row r="252" spans="1:10">
      <c r="A252" s="2">
        <v>0.9291666666666667</v>
      </c>
      <c r="B252" s="2">
        <v>0.9291666666666667</v>
      </c>
      <c r="C252" s="2">
        <v>0.9291666666666667</v>
      </c>
      <c r="D252" s="3" t="s">
        <v>46</v>
      </c>
      <c r="E252" s="3" t="s">
        <v>47</v>
      </c>
      <c r="F252" s="2">
        <f t="shared" si="40"/>
        <v>0</v>
      </c>
      <c r="G252" s="4">
        <f t="shared" si="41"/>
        <v>1338</v>
      </c>
      <c r="H252" s="2">
        <f t="shared" si="42"/>
        <v>0</v>
      </c>
      <c r="I252" s="4">
        <f>HOUR(H252)*60+MINUTE(H252)</f>
        <v>0</v>
      </c>
      <c r="J252" s="4">
        <f t="shared" si="43"/>
        <v>6</v>
      </c>
    </row>
    <row r="253" spans="1:10">
      <c r="A253" s="2">
        <v>0.93055555555555558</v>
      </c>
      <c r="B253" s="2">
        <v>0.93055555555555558</v>
      </c>
      <c r="C253" s="2">
        <v>0.93055555555555558</v>
      </c>
      <c r="D253" s="3" t="s">
        <v>46</v>
      </c>
      <c r="E253" s="3" t="s">
        <v>47</v>
      </c>
      <c r="F253" s="2">
        <f t="shared" si="40"/>
        <v>0</v>
      </c>
      <c r="G253" s="4">
        <f t="shared" si="41"/>
        <v>1340</v>
      </c>
      <c r="H253" s="2">
        <f t="shared" si="42"/>
        <v>0</v>
      </c>
      <c r="I253" s="4">
        <f>HOUR(H253)*60+MINUTE(H253)</f>
        <v>0</v>
      </c>
      <c r="J253" s="4">
        <f t="shared" si="43"/>
        <v>2</v>
      </c>
    </row>
    <row r="254" spans="1:10">
      <c r="A254" s="2">
        <v>0.93333333333333335</v>
      </c>
      <c r="B254" s="2">
        <v>0.93333333333333335</v>
      </c>
      <c r="C254" s="2">
        <v>0.93888888888888888</v>
      </c>
      <c r="D254" s="3" t="s">
        <v>46</v>
      </c>
      <c r="E254" s="3" t="s">
        <v>47</v>
      </c>
      <c r="F254" s="2">
        <f t="shared" si="40"/>
        <v>5.5555555555555358E-3</v>
      </c>
      <c r="G254" s="4">
        <f t="shared" si="41"/>
        <v>1344</v>
      </c>
      <c r="H254" s="2">
        <f t="shared" si="42"/>
        <v>5.5555555555555358E-3</v>
      </c>
      <c r="I254" s="4">
        <f>HOUR(H254)*60+MINUTE(H254)</f>
        <v>8</v>
      </c>
      <c r="J254" s="4">
        <f t="shared" si="43"/>
        <v>4</v>
      </c>
    </row>
    <row r="255" spans="1:10">
      <c r="A255" s="2">
        <v>0.93888888888888888</v>
      </c>
      <c r="B255" s="2">
        <v>0.93888888888888888</v>
      </c>
      <c r="C255" s="2">
        <v>0.94097222222222221</v>
      </c>
      <c r="D255" s="3" t="s">
        <v>46</v>
      </c>
      <c r="E255" s="3" t="s">
        <v>47</v>
      </c>
      <c r="F255" s="2">
        <f t="shared" si="40"/>
        <v>2.0833333333333259E-3</v>
      </c>
      <c r="G255" s="4">
        <f t="shared" si="41"/>
        <v>1352</v>
      </c>
      <c r="H255" s="2">
        <f t="shared" si="42"/>
        <v>2.0833333333333259E-3</v>
      </c>
      <c r="I255" s="4">
        <f>HOUR(H255)*60+MINUTE(H255)</f>
        <v>3</v>
      </c>
      <c r="J255" s="4">
        <f t="shared" si="43"/>
        <v>8</v>
      </c>
    </row>
    <row r="256" spans="1:10">
      <c r="A256" s="2">
        <v>0.94513888888888886</v>
      </c>
      <c r="B256" s="2">
        <v>0.94513888888888886</v>
      </c>
      <c r="C256" s="2">
        <v>0.94652777777777775</v>
      </c>
      <c r="D256" s="3" t="s">
        <v>46</v>
      </c>
      <c r="E256" s="3" t="s">
        <v>47</v>
      </c>
      <c r="F256" s="2">
        <f t="shared" si="40"/>
        <v>1.388888888888884E-3</v>
      </c>
      <c r="G256" s="4">
        <f t="shared" si="41"/>
        <v>1361</v>
      </c>
      <c r="H256" s="2">
        <f t="shared" si="42"/>
        <v>1.388888888888884E-3</v>
      </c>
      <c r="I256" s="4">
        <f>HOUR(H256)*60+MINUTE(H256)</f>
        <v>2</v>
      </c>
      <c r="J256" s="4">
        <f t="shared" si="43"/>
        <v>9</v>
      </c>
    </row>
    <row r="257" spans="1:10">
      <c r="A257" s="2">
        <v>0.94652777777777775</v>
      </c>
      <c r="B257" s="2">
        <v>0.94652777777777775</v>
      </c>
      <c r="C257" s="2">
        <v>0.94722222222222219</v>
      </c>
      <c r="D257" s="3" t="s">
        <v>46</v>
      </c>
      <c r="E257" s="3" t="s">
        <v>47</v>
      </c>
      <c r="F257" s="2">
        <f t="shared" si="40"/>
        <v>6.9444444444444198E-4</v>
      </c>
      <c r="G257" s="4">
        <f t="shared" si="41"/>
        <v>1363</v>
      </c>
      <c r="H257" s="2">
        <f t="shared" si="42"/>
        <v>6.9444444444444198E-4</v>
      </c>
      <c r="I257" s="4">
        <f>HOUR(H257)*60+MINUTE(H257)</f>
        <v>1</v>
      </c>
      <c r="J257" s="4">
        <f t="shared" si="43"/>
        <v>2</v>
      </c>
    </row>
    <row r="258" spans="1:10">
      <c r="A258" s="2">
        <v>0.94722222222222219</v>
      </c>
      <c r="B258" s="2">
        <v>0.94722222222222219</v>
      </c>
      <c r="C258" s="2">
        <v>0.94861111111111107</v>
      </c>
      <c r="D258" s="3" t="s">
        <v>46</v>
      </c>
      <c r="E258" s="3" t="s">
        <v>47</v>
      </c>
      <c r="F258" s="2">
        <f t="shared" si="40"/>
        <v>1.388888888888884E-3</v>
      </c>
      <c r="G258" s="4">
        <f t="shared" si="41"/>
        <v>1364</v>
      </c>
      <c r="H258" s="2">
        <f t="shared" si="42"/>
        <v>1.388888888888884E-3</v>
      </c>
      <c r="I258" s="4">
        <f>HOUR(H258)*60+MINUTE(H258)</f>
        <v>2</v>
      </c>
      <c r="J258" s="4">
        <f t="shared" si="43"/>
        <v>1</v>
      </c>
    </row>
    <row r="259" spans="1:10">
      <c r="A259" s="2">
        <v>0.95</v>
      </c>
      <c r="B259" s="2">
        <v>0.95</v>
      </c>
      <c r="C259" s="2">
        <v>0.95138888888888884</v>
      </c>
      <c r="D259" s="3" t="s">
        <v>46</v>
      </c>
      <c r="E259" s="3" t="s">
        <v>47</v>
      </c>
      <c r="F259" s="2">
        <f t="shared" si="40"/>
        <v>1.388888888888884E-3</v>
      </c>
      <c r="G259" s="4">
        <f t="shared" si="41"/>
        <v>1368</v>
      </c>
      <c r="H259" s="2">
        <f t="shared" si="42"/>
        <v>1.388888888888884E-3</v>
      </c>
      <c r="I259" s="4">
        <f>HOUR(H259)*60+MINUTE(H259)</f>
        <v>2</v>
      </c>
      <c r="J259" s="4">
        <f t="shared" si="43"/>
        <v>4</v>
      </c>
    </row>
    <row r="260" spans="1:10">
      <c r="A260" s="2">
        <v>0.95347222222222228</v>
      </c>
      <c r="B260" s="2">
        <v>0.95347222222222228</v>
      </c>
      <c r="C260" s="2">
        <v>0.95625000000000004</v>
      </c>
      <c r="D260" s="3" t="s">
        <v>46</v>
      </c>
      <c r="E260" s="3" t="s">
        <v>47</v>
      </c>
      <c r="F260" s="2">
        <f t="shared" si="40"/>
        <v>2.7777777777777679E-3</v>
      </c>
      <c r="G260" s="4">
        <f t="shared" si="41"/>
        <v>1373</v>
      </c>
      <c r="H260" s="2">
        <f t="shared" si="42"/>
        <v>2.7777777777777679E-3</v>
      </c>
      <c r="I260" s="4">
        <f>HOUR(H260)*60+MINUTE(H260)</f>
        <v>4</v>
      </c>
      <c r="J260" s="4">
        <f t="shared" si="43"/>
        <v>5</v>
      </c>
    </row>
    <row r="261" spans="1:10">
      <c r="A261" s="2">
        <v>0.9555555555555556</v>
      </c>
      <c r="B261" s="2">
        <v>0.95625000000000004</v>
      </c>
      <c r="C261" s="2">
        <v>0.95625000000000004</v>
      </c>
      <c r="D261" s="3" t="s">
        <v>46</v>
      </c>
      <c r="E261" s="3" t="s">
        <v>47</v>
      </c>
      <c r="F261" s="2">
        <f t="shared" si="40"/>
        <v>0</v>
      </c>
      <c r="G261" s="4">
        <f t="shared" si="41"/>
        <v>1376</v>
      </c>
      <c r="H261" s="2">
        <f t="shared" si="42"/>
        <v>0</v>
      </c>
      <c r="I261" s="4">
        <f>HOUR(H261)*60+MINUTE(H261)</f>
        <v>0</v>
      </c>
      <c r="J261" s="4">
        <f t="shared" si="43"/>
        <v>3</v>
      </c>
    </row>
    <row r="262" spans="1:10">
      <c r="A262" s="2">
        <v>0.95625000000000004</v>
      </c>
      <c r="B262" s="2">
        <v>0.95625000000000004</v>
      </c>
      <c r="C262" s="2">
        <v>0.95763888888888893</v>
      </c>
      <c r="D262" s="3" t="s">
        <v>46</v>
      </c>
      <c r="E262" s="3" t="s">
        <v>47</v>
      </c>
      <c r="F262" s="2">
        <f t="shared" si="40"/>
        <v>1.388888888888884E-3</v>
      </c>
      <c r="G262" s="4">
        <f t="shared" si="41"/>
        <v>1377</v>
      </c>
      <c r="H262" s="2">
        <f t="shared" si="42"/>
        <v>1.388888888888884E-3</v>
      </c>
      <c r="I262" s="4">
        <f>HOUR(H262)*60+MINUTE(H262)</f>
        <v>2</v>
      </c>
      <c r="J262" s="4">
        <f t="shared" si="43"/>
        <v>1</v>
      </c>
    </row>
    <row r="263" spans="1:10">
      <c r="I263" s="1"/>
    </row>
    <row r="264" spans="1:10">
      <c r="I264" s="1"/>
      <c r="J264" s="1"/>
    </row>
    <row r="265" spans="1:10">
      <c r="I265" s="1"/>
    </row>
    <row r="266" spans="1:10">
      <c r="A266" s="136" t="s">
        <v>164</v>
      </c>
      <c r="B266" s="136" t="s">
        <v>165</v>
      </c>
      <c r="C266" s="136" t="s">
        <v>47</v>
      </c>
      <c r="D266" s="136"/>
      <c r="E266" s="136"/>
      <c r="F266" s="136"/>
      <c r="G266" s="136"/>
      <c r="H266" s="136"/>
      <c r="I266" s="137"/>
      <c r="J266" s="136"/>
    </row>
    <row r="267" spans="1:10">
      <c r="A267" s="5">
        <v>0.5854166666666667</v>
      </c>
      <c r="B267" s="5">
        <v>0.5854166666666667</v>
      </c>
      <c r="C267" s="5">
        <v>0.58750000000000002</v>
      </c>
      <c r="D267" s="6" t="s">
        <v>48</v>
      </c>
      <c r="E267" s="6" t="s">
        <v>47</v>
      </c>
      <c r="F267" s="5">
        <f>C267-B267</f>
        <v>2.0833333333333259E-3</v>
      </c>
      <c r="G267" s="7">
        <f>HOUR(A267)*60+MINUTE(A267)</f>
        <v>843</v>
      </c>
      <c r="H267" s="5">
        <f>C267-B267</f>
        <v>2.0833333333333259E-3</v>
      </c>
      <c r="I267" s="7">
        <f>HOUR(H267)*60+MINUTE(H267)</f>
        <v>3</v>
      </c>
      <c r="J267" s="7"/>
    </row>
    <row r="268" spans="1:10">
      <c r="A268" s="5">
        <v>0.59027777777777779</v>
      </c>
      <c r="B268" s="5">
        <v>0.59027777777777779</v>
      </c>
      <c r="C268" s="5">
        <v>0.59166666666666667</v>
      </c>
      <c r="D268" s="6" t="s">
        <v>48</v>
      </c>
      <c r="E268" s="6" t="s">
        <v>47</v>
      </c>
      <c r="F268" s="5">
        <f>C268-B268</f>
        <v>1.388888888888884E-3</v>
      </c>
      <c r="G268" s="7">
        <f>HOUR(A268)*60+MINUTE(A268)</f>
        <v>850</v>
      </c>
      <c r="H268" s="5">
        <f>C268-B268</f>
        <v>1.388888888888884E-3</v>
      </c>
      <c r="I268" s="7">
        <f>HOUR(H268)*60+MINUTE(H268)</f>
        <v>2</v>
      </c>
      <c r="J268" s="10">
        <f>G268-G267</f>
        <v>7</v>
      </c>
    </row>
    <row r="269" spans="1:10">
      <c r="A269" s="5">
        <v>0.61458333333333337</v>
      </c>
      <c r="B269" s="5">
        <v>0.61458333333333337</v>
      </c>
      <c r="C269" s="5">
        <v>0.61597222222222225</v>
      </c>
      <c r="D269" s="6" t="s">
        <v>48</v>
      </c>
      <c r="E269" s="6" t="s">
        <v>47</v>
      </c>
      <c r="F269" s="5">
        <f>C269-B269</f>
        <v>1.388888888888884E-3</v>
      </c>
      <c r="G269" s="7">
        <f>HOUR(A269)*60+MINUTE(A269)</f>
        <v>885</v>
      </c>
      <c r="H269" s="5">
        <f>C269-B269</f>
        <v>1.388888888888884E-3</v>
      </c>
      <c r="I269" s="7">
        <f>HOUR(H269)*60+MINUTE(H269)</f>
        <v>2</v>
      </c>
      <c r="J269" s="10">
        <f t="shared" ref="J269:J297" si="44">G269-G268</f>
        <v>35</v>
      </c>
    </row>
    <row r="270" spans="1:10">
      <c r="A270" s="5">
        <v>0.625</v>
      </c>
      <c r="B270" s="5">
        <v>0.625</v>
      </c>
      <c r="C270" s="5">
        <v>0.62777777777777777</v>
      </c>
      <c r="D270" s="6" t="s">
        <v>48</v>
      </c>
      <c r="E270" s="6" t="s">
        <v>47</v>
      </c>
      <c r="F270" s="5">
        <f>C270-B270</f>
        <v>2.7777777777777679E-3</v>
      </c>
      <c r="G270" s="7">
        <f>HOUR(A270)*60+MINUTE(A270)</f>
        <v>900</v>
      </c>
      <c r="H270" s="5">
        <f>C270-B270</f>
        <v>2.7777777777777679E-3</v>
      </c>
      <c r="I270" s="7">
        <f>HOUR(H270)*60+MINUTE(H270)</f>
        <v>4</v>
      </c>
      <c r="J270" s="10">
        <f t="shared" si="44"/>
        <v>15</v>
      </c>
    </row>
    <row r="271" spans="1:10">
      <c r="A271" s="5">
        <v>0.6333333333333333</v>
      </c>
      <c r="B271" s="5">
        <v>0.6333333333333333</v>
      </c>
      <c r="C271" s="5">
        <v>0.63472222222222219</v>
      </c>
      <c r="D271" s="6" t="s">
        <v>48</v>
      </c>
      <c r="E271" s="6" t="s">
        <v>47</v>
      </c>
      <c r="F271" s="5">
        <f>C271-B271</f>
        <v>1.388888888888884E-3</v>
      </c>
      <c r="G271" s="7">
        <f>HOUR(A271)*60+MINUTE(A271)</f>
        <v>912</v>
      </c>
      <c r="H271" s="5">
        <f>C271-B271</f>
        <v>1.388888888888884E-3</v>
      </c>
      <c r="I271" s="7">
        <f>HOUR(H271)*60+MINUTE(H271)</f>
        <v>2</v>
      </c>
      <c r="J271" s="10">
        <f t="shared" si="44"/>
        <v>12</v>
      </c>
    </row>
    <row r="272" spans="1:10">
      <c r="A272" s="5">
        <v>0.6333333333333333</v>
      </c>
      <c r="B272" s="5">
        <v>0.63472222222222219</v>
      </c>
      <c r="C272" s="5">
        <v>0.63749999999999996</v>
      </c>
      <c r="D272" s="6" t="s">
        <v>48</v>
      </c>
      <c r="E272" s="6" t="s">
        <v>47</v>
      </c>
      <c r="F272" s="5">
        <f>C272-B272</f>
        <v>2.7777777777777679E-3</v>
      </c>
      <c r="G272" s="7">
        <f>HOUR(A272)*60+MINUTE(A272)</f>
        <v>912</v>
      </c>
      <c r="H272" s="5">
        <f>C272-B272</f>
        <v>2.7777777777777679E-3</v>
      </c>
      <c r="I272" s="7">
        <f>HOUR(H272)*60+MINUTE(H272)</f>
        <v>4</v>
      </c>
      <c r="J272" s="10">
        <f t="shared" si="44"/>
        <v>0</v>
      </c>
    </row>
    <row r="273" spans="1:10">
      <c r="A273" s="5">
        <v>0.63472222222222219</v>
      </c>
      <c r="B273" s="5">
        <v>0.63749999999999996</v>
      </c>
      <c r="C273" s="5">
        <v>0.6381944444444444</v>
      </c>
      <c r="D273" s="6" t="s">
        <v>48</v>
      </c>
      <c r="E273" s="6" t="s">
        <v>47</v>
      </c>
      <c r="F273" s="5">
        <f>C273-B273</f>
        <v>6.9444444444444198E-4</v>
      </c>
      <c r="G273" s="7">
        <f>HOUR(A273)*60+MINUTE(A273)</f>
        <v>914</v>
      </c>
      <c r="H273" s="5">
        <f>C273-B273</f>
        <v>6.9444444444444198E-4</v>
      </c>
      <c r="I273" s="7">
        <f>HOUR(H273)*60+MINUTE(H273)</f>
        <v>1</v>
      </c>
      <c r="J273" s="10">
        <f t="shared" si="44"/>
        <v>2</v>
      </c>
    </row>
    <row r="274" spans="1:10">
      <c r="A274" s="5">
        <v>0.63680555555555551</v>
      </c>
      <c r="B274" s="5">
        <v>0.6381944444444444</v>
      </c>
      <c r="C274" s="5">
        <v>0.64166666666666672</v>
      </c>
      <c r="D274" s="6" t="s">
        <v>48</v>
      </c>
      <c r="E274" s="6" t="s">
        <v>47</v>
      </c>
      <c r="F274" s="5">
        <f>C274-B274</f>
        <v>3.4722222222223209E-3</v>
      </c>
      <c r="G274" s="7">
        <f>HOUR(A274)*60+MINUTE(A274)</f>
        <v>917</v>
      </c>
      <c r="H274" s="5">
        <f>C274-B274</f>
        <v>3.4722222222223209E-3</v>
      </c>
      <c r="I274" s="7">
        <f>HOUR(H274)*60+MINUTE(H274)</f>
        <v>5</v>
      </c>
      <c r="J274" s="10">
        <f t="shared" si="44"/>
        <v>3</v>
      </c>
    </row>
    <row r="275" spans="1:10">
      <c r="A275" s="5">
        <v>0.64583333333333337</v>
      </c>
      <c r="B275" s="5">
        <v>0.64583333333333337</v>
      </c>
      <c r="C275" s="5">
        <v>0.64583333333333337</v>
      </c>
      <c r="D275" s="6" t="s">
        <v>48</v>
      </c>
      <c r="E275" s="6" t="s">
        <v>47</v>
      </c>
      <c r="F275" s="5">
        <f>C275-B275</f>
        <v>0</v>
      </c>
      <c r="G275" s="7">
        <f>HOUR(A275)*60+MINUTE(A275)</f>
        <v>930</v>
      </c>
      <c r="H275" s="5">
        <f>C275-B275</f>
        <v>0</v>
      </c>
      <c r="I275" s="7">
        <f>HOUR(H275)*60+MINUTE(H275)</f>
        <v>0</v>
      </c>
      <c r="J275" s="10">
        <f t="shared" si="44"/>
        <v>13</v>
      </c>
    </row>
    <row r="276" spans="1:10">
      <c r="A276" s="5">
        <v>0.64861111111111114</v>
      </c>
      <c r="B276" s="5">
        <v>0.64861111111111114</v>
      </c>
      <c r="C276" s="5">
        <v>0.65694444444444444</v>
      </c>
      <c r="D276" s="6" t="s">
        <v>48</v>
      </c>
      <c r="E276" s="6" t="s">
        <v>47</v>
      </c>
      <c r="F276" s="5">
        <f>C276-B276</f>
        <v>8.3333333333333037E-3</v>
      </c>
      <c r="G276" s="7">
        <f>HOUR(A276)*60+MINUTE(A276)</f>
        <v>934</v>
      </c>
      <c r="H276" s="5">
        <f>C276-B276</f>
        <v>8.3333333333333037E-3</v>
      </c>
      <c r="I276" s="7">
        <f>HOUR(H276)*60+MINUTE(H276)</f>
        <v>12</v>
      </c>
      <c r="J276" s="10">
        <f t="shared" si="44"/>
        <v>4</v>
      </c>
    </row>
    <row r="277" spans="1:10">
      <c r="A277" s="5">
        <v>0.65347222222222223</v>
      </c>
      <c r="B277" s="5">
        <v>0.65694444444444444</v>
      </c>
      <c r="C277" s="5">
        <v>0.65833333333333333</v>
      </c>
      <c r="D277" s="6" t="s">
        <v>48</v>
      </c>
      <c r="E277" s="6" t="s">
        <v>47</v>
      </c>
      <c r="F277" s="5">
        <f>C277-B277</f>
        <v>1.388888888888884E-3</v>
      </c>
      <c r="G277" s="7">
        <f>HOUR(A277)*60+MINUTE(A277)</f>
        <v>941</v>
      </c>
      <c r="H277" s="5">
        <f>C277-B277</f>
        <v>1.388888888888884E-3</v>
      </c>
      <c r="I277" s="7">
        <f>HOUR(H277)*60+MINUTE(H277)</f>
        <v>2</v>
      </c>
      <c r="J277" s="10">
        <f t="shared" si="44"/>
        <v>7</v>
      </c>
    </row>
    <row r="278" spans="1:10">
      <c r="A278" s="5">
        <v>0.67291666666666672</v>
      </c>
      <c r="B278" s="5">
        <v>0.67291666666666672</v>
      </c>
      <c r="C278" s="5">
        <v>0.6743055555555556</v>
      </c>
      <c r="D278" s="6" t="s">
        <v>48</v>
      </c>
      <c r="E278" s="6" t="s">
        <v>47</v>
      </c>
      <c r="F278" s="5">
        <f>C278-B278</f>
        <v>1.388888888888884E-3</v>
      </c>
      <c r="G278" s="7">
        <f>HOUR(A278)*60+MINUTE(A278)</f>
        <v>969</v>
      </c>
      <c r="H278" s="5">
        <f>C278-B278</f>
        <v>1.388888888888884E-3</v>
      </c>
      <c r="I278" s="7">
        <f>HOUR(H278)*60+MINUTE(H278)</f>
        <v>2</v>
      </c>
      <c r="J278" s="10">
        <f t="shared" si="44"/>
        <v>28</v>
      </c>
    </row>
    <row r="279" spans="1:10">
      <c r="A279" s="5">
        <v>0.67291666666666672</v>
      </c>
      <c r="B279" s="5">
        <v>0.6743055555555556</v>
      </c>
      <c r="C279" s="5">
        <v>0.68333333333333335</v>
      </c>
      <c r="D279" s="6" t="s">
        <v>48</v>
      </c>
      <c r="E279" s="6" t="s">
        <v>47</v>
      </c>
      <c r="F279" s="5">
        <f>C279-B279</f>
        <v>9.0277777777777457E-3</v>
      </c>
      <c r="G279" s="7">
        <f>HOUR(A279)*60+MINUTE(A279)</f>
        <v>969</v>
      </c>
      <c r="H279" s="5">
        <f>C279-B279</f>
        <v>9.0277777777777457E-3</v>
      </c>
      <c r="I279" s="7">
        <f>HOUR(H279)*60+MINUTE(H279)</f>
        <v>13</v>
      </c>
      <c r="J279" s="10">
        <f t="shared" si="44"/>
        <v>0</v>
      </c>
    </row>
    <row r="280" spans="1:10">
      <c r="A280" s="5">
        <v>0.68194444444444446</v>
      </c>
      <c r="B280" s="5">
        <v>0.68333333333333335</v>
      </c>
      <c r="C280" s="5">
        <v>0.68888888888888888</v>
      </c>
      <c r="D280" s="6" t="s">
        <v>48</v>
      </c>
      <c r="E280" s="6" t="s">
        <v>47</v>
      </c>
      <c r="F280" s="5">
        <f>C280-B280</f>
        <v>5.5555555555555358E-3</v>
      </c>
      <c r="G280" s="7">
        <f>HOUR(A280)*60+MINUTE(A280)</f>
        <v>982</v>
      </c>
      <c r="H280" s="5">
        <f>C280-B280</f>
        <v>5.5555555555555358E-3</v>
      </c>
      <c r="I280" s="7">
        <f>HOUR(H280)*60+MINUTE(H280)</f>
        <v>8</v>
      </c>
      <c r="J280" s="10">
        <f t="shared" si="44"/>
        <v>13</v>
      </c>
    </row>
    <row r="281" spans="1:10">
      <c r="A281" s="5">
        <v>0.69097222222222221</v>
      </c>
      <c r="B281" s="5">
        <v>0.69097222222222221</v>
      </c>
      <c r="C281" s="5">
        <v>0.6958333333333333</v>
      </c>
      <c r="D281" s="6" t="s">
        <v>48</v>
      </c>
      <c r="E281" s="6" t="s">
        <v>47</v>
      </c>
      <c r="F281" s="5">
        <f>C281-B281</f>
        <v>4.8611111111110938E-3</v>
      </c>
      <c r="G281" s="7">
        <f>HOUR(A281)*60+MINUTE(A281)</f>
        <v>995</v>
      </c>
      <c r="H281" s="5">
        <f>C281-B281</f>
        <v>4.8611111111110938E-3</v>
      </c>
      <c r="I281" s="7">
        <f>HOUR(H281)*60+MINUTE(H281)</f>
        <v>7</v>
      </c>
      <c r="J281" s="10">
        <f t="shared" si="44"/>
        <v>13</v>
      </c>
    </row>
    <row r="282" spans="1:10">
      <c r="A282" s="5">
        <v>0.70277777777777772</v>
      </c>
      <c r="B282" s="5">
        <v>0.70277777777777772</v>
      </c>
      <c r="C282" s="5">
        <v>0.70625000000000004</v>
      </c>
      <c r="D282" s="6" t="s">
        <v>48</v>
      </c>
      <c r="E282" s="6" t="s">
        <v>47</v>
      </c>
      <c r="F282" s="5">
        <f>C282-B282</f>
        <v>3.4722222222223209E-3</v>
      </c>
      <c r="G282" s="7">
        <f>HOUR(A282)*60+MINUTE(A282)</f>
        <v>1012</v>
      </c>
      <c r="H282" s="5">
        <f>C282-B282</f>
        <v>3.4722222222223209E-3</v>
      </c>
      <c r="I282" s="7">
        <f>HOUR(H282)*60+MINUTE(H282)</f>
        <v>5</v>
      </c>
      <c r="J282" s="10">
        <f t="shared" si="44"/>
        <v>17</v>
      </c>
    </row>
    <row r="283" spans="1:10">
      <c r="A283" s="5">
        <v>0.70347222222222228</v>
      </c>
      <c r="B283" s="5">
        <v>0.70625000000000004</v>
      </c>
      <c r="C283" s="5">
        <v>0.70833333333333337</v>
      </c>
      <c r="D283" s="6" t="s">
        <v>48</v>
      </c>
      <c r="E283" s="6" t="s">
        <v>47</v>
      </c>
      <c r="F283" s="5">
        <f>C283-B283</f>
        <v>2.0833333333333259E-3</v>
      </c>
      <c r="G283" s="7">
        <f>HOUR(A283)*60+MINUTE(A283)</f>
        <v>1013</v>
      </c>
      <c r="H283" s="5">
        <f>C283-B283</f>
        <v>2.0833333333333259E-3</v>
      </c>
      <c r="I283" s="7">
        <f>HOUR(H283)*60+MINUTE(H283)</f>
        <v>3</v>
      </c>
      <c r="J283" s="10">
        <f t="shared" si="44"/>
        <v>1</v>
      </c>
    </row>
    <row r="284" spans="1:10">
      <c r="A284" s="5">
        <v>0.70416666666666672</v>
      </c>
      <c r="B284" s="5">
        <v>0.70833333333333337</v>
      </c>
      <c r="C284" s="5">
        <v>0.70902777777777781</v>
      </c>
      <c r="D284" s="6" t="s">
        <v>48</v>
      </c>
      <c r="E284" s="6" t="s">
        <v>47</v>
      </c>
      <c r="F284" s="5">
        <f>C284-B284</f>
        <v>6.9444444444444198E-4</v>
      </c>
      <c r="G284" s="7">
        <f>HOUR(A284)*60+MINUTE(A284)</f>
        <v>1014</v>
      </c>
      <c r="H284" s="5">
        <f>C284-B284</f>
        <v>6.9444444444444198E-4</v>
      </c>
      <c r="I284" s="7">
        <f>HOUR(H284)*60+MINUTE(H284)</f>
        <v>1</v>
      </c>
      <c r="J284" s="10">
        <f t="shared" si="44"/>
        <v>1</v>
      </c>
    </row>
    <row r="285" spans="1:10">
      <c r="A285" s="5">
        <v>0.7055555555555556</v>
      </c>
      <c r="B285" s="5">
        <v>0.70902777777777781</v>
      </c>
      <c r="C285" s="5">
        <v>0.71180555555555558</v>
      </c>
      <c r="D285" s="6" t="s">
        <v>48</v>
      </c>
      <c r="E285" s="6" t="s">
        <v>47</v>
      </c>
      <c r="F285" s="5">
        <f>C285-B285</f>
        <v>2.7777777777777679E-3</v>
      </c>
      <c r="G285" s="7">
        <f>HOUR(A285)*60+MINUTE(A285)</f>
        <v>1016</v>
      </c>
      <c r="H285" s="5">
        <f>C285-B285</f>
        <v>2.7777777777777679E-3</v>
      </c>
      <c r="I285" s="7">
        <f>HOUR(H285)*60+MINUTE(H285)</f>
        <v>4</v>
      </c>
      <c r="J285" s="10">
        <f t="shared" si="44"/>
        <v>2</v>
      </c>
    </row>
    <row r="286" spans="1:10">
      <c r="A286" s="5">
        <v>0.71250000000000002</v>
      </c>
      <c r="B286" s="5">
        <v>0.71250000000000002</v>
      </c>
      <c r="C286" s="5">
        <v>0.71319444444444446</v>
      </c>
      <c r="D286" s="6" t="s">
        <v>48</v>
      </c>
      <c r="E286" s="6" t="s">
        <v>47</v>
      </c>
      <c r="F286" s="5">
        <f>C286-B286</f>
        <v>6.9444444444444198E-4</v>
      </c>
      <c r="G286" s="7">
        <f>HOUR(A286)*60+MINUTE(A286)</f>
        <v>1026</v>
      </c>
      <c r="H286" s="5">
        <f>C286-B286</f>
        <v>6.9444444444444198E-4</v>
      </c>
      <c r="I286" s="7">
        <f>HOUR(H286)*60+MINUTE(H286)</f>
        <v>1</v>
      </c>
      <c r="J286" s="10">
        <f t="shared" si="44"/>
        <v>10</v>
      </c>
    </row>
    <row r="287" spans="1:10">
      <c r="A287" s="5">
        <v>0.71944444444444444</v>
      </c>
      <c r="B287" s="5">
        <v>0.71944444444444444</v>
      </c>
      <c r="C287" s="5">
        <v>0.72152777777777777</v>
      </c>
      <c r="D287" s="6" t="s">
        <v>48</v>
      </c>
      <c r="E287" s="6" t="s">
        <v>47</v>
      </c>
      <c r="F287" s="5">
        <f>C287-B287</f>
        <v>2.0833333333333259E-3</v>
      </c>
      <c r="G287" s="7">
        <f>HOUR(A287)*60+MINUTE(A287)</f>
        <v>1036</v>
      </c>
      <c r="H287" s="5">
        <f>C287-B287</f>
        <v>2.0833333333333259E-3</v>
      </c>
      <c r="I287" s="7">
        <f>HOUR(H287)*60+MINUTE(H287)</f>
        <v>3</v>
      </c>
      <c r="J287" s="10">
        <f t="shared" si="44"/>
        <v>10</v>
      </c>
    </row>
    <row r="288" spans="1:10">
      <c r="A288" s="5">
        <v>0.72152777777777777</v>
      </c>
      <c r="B288" s="5">
        <v>0.72152777777777777</v>
      </c>
      <c r="C288" s="5">
        <v>0.72777777777777775</v>
      </c>
      <c r="D288" s="6" t="s">
        <v>48</v>
      </c>
      <c r="E288" s="6" t="s">
        <v>47</v>
      </c>
      <c r="F288" s="5">
        <f>C288-B288</f>
        <v>6.2499999999999778E-3</v>
      </c>
      <c r="G288" s="7">
        <f>HOUR(A288)*60+MINUTE(A288)</f>
        <v>1039</v>
      </c>
      <c r="H288" s="5">
        <f>C288-B288</f>
        <v>6.2499999999999778E-3</v>
      </c>
      <c r="I288" s="7">
        <f>HOUR(H288)*60+MINUTE(H288)</f>
        <v>9</v>
      </c>
      <c r="J288" s="10">
        <f t="shared" si="44"/>
        <v>3</v>
      </c>
    </row>
    <row r="289" spans="1:10">
      <c r="A289" s="5">
        <v>0.73263888888888884</v>
      </c>
      <c r="B289" s="5">
        <v>0.73263888888888884</v>
      </c>
      <c r="C289" s="5">
        <v>0.73402777777777772</v>
      </c>
      <c r="D289" s="6" t="s">
        <v>48</v>
      </c>
      <c r="E289" s="6" t="s">
        <v>47</v>
      </c>
      <c r="F289" s="5">
        <f>C289-B289</f>
        <v>1.388888888888884E-3</v>
      </c>
      <c r="G289" s="7">
        <f>HOUR(A289)*60+MINUTE(A289)</f>
        <v>1055</v>
      </c>
      <c r="H289" s="5">
        <f>C289-B289</f>
        <v>1.388888888888884E-3</v>
      </c>
      <c r="I289" s="7">
        <f>HOUR(H289)*60+MINUTE(H289)</f>
        <v>2</v>
      </c>
      <c r="J289" s="10">
        <f t="shared" si="44"/>
        <v>16</v>
      </c>
    </row>
    <row r="290" spans="1:10">
      <c r="A290" s="5">
        <v>0.7416666666666667</v>
      </c>
      <c r="B290" s="5">
        <v>0.7416666666666667</v>
      </c>
      <c r="C290" s="5">
        <v>0.74652777777777779</v>
      </c>
      <c r="D290" s="6" t="s">
        <v>48</v>
      </c>
      <c r="E290" s="6" t="s">
        <v>47</v>
      </c>
      <c r="F290" s="5">
        <f>C290-B290</f>
        <v>4.8611111111110938E-3</v>
      </c>
      <c r="G290" s="7">
        <f>HOUR(A290)*60+MINUTE(A290)</f>
        <v>1068</v>
      </c>
      <c r="H290" s="5">
        <f>C290-B290</f>
        <v>4.8611111111110938E-3</v>
      </c>
      <c r="I290" s="7">
        <f>HOUR(H290)*60+MINUTE(H290)</f>
        <v>7</v>
      </c>
      <c r="J290" s="10">
        <f t="shared" si="44"/>
        <v>13</v>
      </c>
    </row>
    <row r="291" spans="1:10">
      <c r="A291" s="5">
        <v>0.74375000000000002</v>
      </c>
      <c r="B291" s="5">
        <v>0.74652777777777779</v>
      </c>
      <c r="C291" s="5">
        <v>0.75347222222222221</v>
      </c>
      <c r="D291" s="6" t="s">
        <v>48</v>
      </c>
      <c r="E291" s="6" t="s">
        <v>47</v>
      </c>
      <c r="F291" s="5">
        <f>C291-B291</f>
        <v>6.9444444444444198E-3</v>
      </c>
      <c r="G291" s="7">
        <f>HOUR(A291)*60+MINUTE(A291)</f>
        <v>1071</v>
      </c>
      <c r="H291" s="5">
        <f>C291-B291</f>
        <v>6.9444444444444198E-3</v>
      </c>
      <c r="I291" s="7">
        <f>HOUR(H291)*60+MINUTE(H291)</f>
        <v>10</v>
      </c>
      <c r="J291" s="10">
        <f t="shared" si="44"/>
        <v>3</v>
      </c>
    </row>
    <row r="292" spans="1:10">
      <c r="A292" s="5">
        <v>0.74722222222222223</v>
      </c>
      <c r="B292" s="5">
        <v>0.75347222222222221</v>
      </c>
      <c r="C292" s="5">
        <v>0.75763888888888886</v>
      </c>
      <c r="D292" s="6" t="s">
        <v>48</v>
      </c>
      <c r="E292" s="6" t="s">
        <v>47</v>
      </c>
      <c r="F292" s="5">
        <f>C292-B292</f>
        <v>4.1666666666666519E-3</v>
      </c>
      <c r="G292" s="7">
        <f>HOUR(A292)*60+MINUTE(A292)</f>
        <v>1076</v>
      </c>
      <c r="H292" s="5">
        <f>C292-B292</f>
        <v>4.1666666666666519E-3</v>
      </c>
      <c r="I292" s="7">
        <f>HOUR(H292)*60+MINUTE(H292)</f>
        <v>6</v>
      </c>
      <c r="J292" s="10">
        <f t="shared" si="44"/>
        <v>5</v>
      </c>
    </row>
    <row r="293" spans="1:10">
      <c r="A293" s="5">
        <v>0.7583333333333333</v>
      </c>
      <c r="B293" s="5">
        <v>0.7583333333333333</v>
      </c>
      <c r="C293" s="5">
        <v>0.76249999999999996</v>
      </c>
      <c r="D293" s="6" t="s">
        <v>48</v>
      </c>
      <c r="E293" s="6" t="s">
        <v>47</v>
      </c>
      <c r="F293" s="5">
        <f>C293-B293</f>
        <v>4.1666666666666519E-3</v>
      </c>
      <c r="G293" s="7">
        <f>HOUR(A293)*60+MINUTE(A293)</f>
        <v>1092</v>
      </c>
      <c r="H293" s="5">
        <f>C293-B293</f>
        <v>4.1666666666666519E-3</v>
      </c>
      <c r="I293" s="7">
        <f>HOUR(H293)*60+MINUTE(H293)</f>
        <v>6</v>
      </c>
      <c r="J293" s="10">
        <f t="shared" si="44"/>
        <v>16</v>
      </c>
    </row>
    <row r="294" spans="1:10">
      <c r="A294" s="5">
        <v>0.76111111111111107</v>
      </c>
      <c r="B294" s="5">
        <v>0.76249999999999996</v>
      </c>
      <c r="C294" s="5">
        <v>0.76388888888888884</v>
      </c>
      <c r="D294" s="6" t="s">
        <v>48</v>
      </c>
      <c r="E294" s="6" t="s">
        <v>47</v>
      </c>
      <c r="F294" s="5">
        <f>C294-B294</f>
        <v>1.388888888888884E-3</v>
      </c>
      <c r="G294" s="7">
        <f>HOUR(A294)*60+MINUTE(A294)</f>
        <v>1096</v>
      </c>
      <c r="H294" s="5">
        <f>C294-B294</f>
        <v>1.388888888888884E-3</v>
      </c>
      <c r="I294" s="7">
        <f>HOUR(H294)*60+MINUTE(H294)</f>
        <v>2</v>
      </c>
      <c r="J294" s="10">
        <f t="shared" si="44"/>
        <v>4</v>
      </c>
    </row>
    <row r="295" spans="1:10">
      <c r="A295" s="5">
        <v>0.76527777777777772</v>
      </c>
      <c r="B295" s="5">
        <v>0.76527777777777772</v>
      </c>
      <c r="C295" s="5">
        <v>0.76666666666666672</v>
      </c>
      <c r="D295" s="6" t="s">
        <v>48</v>
      </c>
      <c r="E295" s="6" t="s">
        <v>47</v>
      </c>
      <c r="F295" s="5">
        <f>C295-B295</f>
        <v>1.388888888888995E-3</v>
      </c>
      <c r="G295" s="7">
        <f>HOUR(A295)*60+MINUTE(A295)</f>
        <v>1102</v>
      </c>
      <c r="H295" s="5">
        <f>C295-B295</f>
        <v>1.388888888888995E-3</v>
      </c>
      <c r="I295" s="7">
        <f>HOUR(H295)*60+MINUTE(H295)</f>
        <v>2</v>
      </c>
      <c r="J295" s="10">
        <f t="shared" si="44"/>
        <v>6</v>
      </c>
    </row>
    <row r="296" spans="1:10">
      <c r="A296" s="5">
        <v>0.76736111111111116</v>
      </c>
      <c r="B296" s="5">
        <v>0.76736111111111116</v>
      </c>
      <c r="C296" s="5">
        <v>0.76736111111111116</v>
      </c>
      <c r="D296" s="6" t="s">
        <v>48</v>
      </c>
      <c r="E296" s="6" t="s">
        <v>47</v>
      </c>
      <c r="F296" s="5">
        <f>C296-B296</f>
        <v>0</v>
      </c>
      <c r="G296" s="7">
        <f>HOUR(A296)*60+MINUTE(A296)</f>
        <v>1105</v>
      </c>
      <c r="H296" s="5">
        <f>C296-B296</f>
        <v>0</v>
      </c>
      <c r="I296" s="7">
        <f>HOUR(H296)*60+MINUTE(H296)</f>
        <v>0</v>
      </c>
      <c r="J296" s="10">
        <f t="shared" si="44"/>
        <v>3</v>
      </c>
    </row>
    <row r="297" spans="1:10">
      <c r="A297" s="5">
        <v>0.7680555555555556</v>
      </c>
      <c r="B297" s="5">
        <v>0.7680555555555556</v>
      </c>
      <c r="C297" s="5">
        <v>0.76944444444444449</v>
      </c>
      <c r="D297" s="6" t="s">
        <v>48</v>
      </c>
      <c r="E297" s="6" t="s">
        <v>47</v>
      </c>
      <c r="F297" s="5">
        <f>C297-B297</f>
        <v>1.388888888888884E-3</v>
      </c>
      <c r="G297" s="7">
        <f>HOUR(A297)*60+MINUTE(A297)</f>
        <v>1106</v>
      </c>
      <c r="H297" s="5">
        <f>C297-B297</f>
        <v>1.388888888888884E-3</v>
      </c>
      <c r="I297" s="7">
        <f>HOUR(H297)*60+MINUTE(H297)</f>
        <v>2</v>
      </c>
      <c r="J297" s="10">
        <f t="shared" si="44"/>
        <v>1</v>
      </c>
    </row>
    <row r="298" spans="1:10">
      <c r="A298" s="5">
        <v>0.82013888888888886</v>
      </c>
      <c r="B298" s="5">
        <v>0.82013888888888886</v>
      </c>
      <c r="C298" s="5">
        <v>0.82291666666666663</v>
      </c>
      <c r="D298" s="6" t="s">
        <v>48</v>
      </c>
      <c r="E298" s="6" t="s">
        <v>47</v>
      </c>
      <c r="F298" s="5">
        <f>C298-B298</f>
        <v>2.7777777777777679E-3</v>
      </c>
      <c r="G298" s="7">
        <f>HOUR(A298)*60+MINUTE(A298)</f>
        <v>1181</v>
      </c>
      <c r="H298" s="5">
        <f>C298-B298</f>
        <v>2.7777777777777679E-3</v>
      </c>
      <c r="I298" s="7">
        <f>HOUR(H298)*60+MINUTE(H298)</f>
        <v>4</v>
      </c>
      <c r="J298" s="10">
        <f>G298-G297</f>
        <v>75</v>
      </c>
    </row>
    <row r="299" spans="1:10">
      <c r="A299" s="5">
        <v>0.83402777777777781</v>
      </c>
      <c r="B299" s="5">
        <v>0.83402777777777781</v>
      </c>
      <c r="C299" s="5">
        <v>0.83680555555555558</v>
      </c>
      <c r="D299" s="6" t="s">
        <v>48</v>
      </c>
      <c r="E299" s="6" t="s">
        <v>47</v>
      </c>
      <c r="F299" s="5">
        <f>C299-B299</f>
        <v>2.7777777777777679E-3</v>
      </c>
      <c r="G299" s="7">
        <f>HOUR(A299)*60+MINUTE(A299)</f>
        <v>1201</v>
      </c>
      <c r="H299" s="5">
        <f>C299-B299</f>
        <v>2.7777777777777679E-3</v>
      </c>
      <c r="I299" s="7">
        <f>HOUR(H299)*60+MINUTE(H299)</f>
        <v>4</v>
      </c>
      <c r="J299" s="10">
        <f>G299-G298</f>
        <v>20</v>
      </c>
    </row>
    <row r="300" spans="1:10">
      <c r="A300" s="5">
        <v>0.83750000000000002</v>
      </c>
      <c r="B300" s="5">
        <v>0.83750000000000002</v>
      </c>
      <c r="C300" s="5">
        <v>0.84791666666666665</v>
      </c>
      <c r="D300" s="6" t="s">
        <v>48</v>
      </c>
      <c r="E300" s="6" t="s">
        <v>47</v>
      </c>
      <c r="F300" s="5">
        <f>C300-B300</f>
        <v>1.041666666666663E-2</v>
      </c>
      <c r="G300" s="7">
        <f>HOUR(A300)*60+MINUTE(A300)</f>
        <v>1206</v>
      </c>
      <c r="H300" s="5">
        <f>C300-B300</f>
        <v>1.041666666666663E-2</v>
      </c>
      <c r="I300" s="7">
        <f>HOUR(H300)*60+MINUTE(H300)</f>
        <v>15</v>
      </c>
      <c r="J300" s="10">
        <f>G300-G299</f>
        <v>5</v>
      </c>
    </row>
    <row r="301" spans="1:10">
      <c r="A301" s="5">
        <v>0.88055555555555554</v>
      </c>
      <c r="B301" s="5">
        <v>0.88055555555555554</v>
      </c>
      <c r="C301" s="5">
        <v>0.88194444444444442</v>
      </c>
      <c r="D301" s="6" t="s">
        <v>48</v>
      </c>
      <c r="E301" s="6" t="s">
        <v>47</v>
      </c>
      <c r="F301" s="5">
        <f>C301-B301</f>
        <v>1.388888888888884E-3</v>
      </c>
      <c r="G301" s="7">
        <f>HOUR(A301)*60+MINUTE(A301)</f>
        <v>1268</v>
      </c>
      <c r="H301" s="5">
        <f>C301-B301</f>
        <v>1.388888888888884E-3</v>
      </c>
      <c r="I301" s="7">
        <f>HOUR(H301)*60+MINUTE(H301)</f>
        <v>2</v>
      </c>
      <c r="J301" s="10">
        <f>G301-G300</f>
        <v>62</v>
      </c>
    </row>
    <row r="302" spans="1:10">
      <c r="A302" s="5">
        <v>0.88263888888888886</v>
      </c>
      <c r="B302" s="5">
        <v>0.88263888888888886</v>
      </c>
      <c r="C302" s="5">
        <v>0.88263888888888886</v>
      </c>
      <c r="D302" s="6" t="s">
        <v>48</v>
      </c>
      <c r="E302" s="6" t="s">
        <v>47</v>
      </c>
      <c r="F302" s="5">
        <f>C302-B302</f>
        <v>0</v>
      </c>
      <c r="G302" s="7">
        <f>HOUR(A302)*60+MINUTE(A302)</f>
        <v>1271</v>
      </c>
      <c r="H302" s="5">
        <f>C302-B302</f>
        <v>0</v>
      </c>
      <c r="I302" s="7">
        <f>HOUR(H302)*60+MINUTE(H302)</f>
        <v>0</v>
      </c>
      <c r="J302" s="10">
        <f>G302-G301</f>
        <v>3</v>
      </c>
    </row>
    <row r="303" spans="1:10">
      <c r="A303" s="5">
        <v>0.88472222222222219</v>
      </c>
      <c r="B303" s="5">
        <v>0.88472222222222219</v>
      </c>
      <c r="C303" s="5">
        <v>0.88680555555555551</v>
      </c>
      <c r="D303" s="6" t="s">
        <v>48</v>
      </c>
      <c r="E303" s="6" t="s">
        <v>47</v>
      </c>
      <c r="F303" s="5">
        <f>C303-B303</f>
        <v>2.0833333333333259E-3</v>
      </c>
      <c r="G303" s="7">
        <f>HOUR(A303)*60+MINUTE(A303)</f>
        <v>1274</v>
      </c>
      <c r="H303" s="5">
        <f>C303-B303</f>
        <v>2.0833333333333259E-3</v>
      </c>
      <c r="I303" s="7">
        <f>HOUR(H303)*60+MINUTE(H303)</f>
        <v>3</v>
      </c>
      <c r="J303" s="10">
        <f>G303-G302</f>
        <v>3</v>
      </c>
    </row>
    <row r="304" spans="1:10">
      <c r="A304" s="5">
        <v>0.88958333333333328</v>
      </c>
      <c r="B304" s="5">
        <v>0.88958333333333328</v>
      </c>
      <c r="C304" s="5">
        <v>0.8930555555555556</v>
      </c>
      <c r="D304" s="6" t="s">
        <v>48</v>
      </c>
      <c r="E304" s="6" t="s">
        <v>47</v>
      </c>
      <c r="F304" s="5">
        <f>C304-B304</f>
        <v>3.4722222222223209E-3</v>
      </c>
      <c r="G304" s="7">
        <f>HOUR(A304)*60+MINUTE(A304)</f>
        <v>1281</v>
      </c>
      <c r="H304" s="5">
        <f>C304-B304</f>
        <v>3.4722222222223209E-3</v>
      </c>
      <c r="I304" s="7">
        <f>HOUR(H304)*60+MINUTE(H304)</f>
        <v>5</v>
      </c>
      <c r="J304" s="10">
        <f>G304-G303</f>
        <v>7</v>
      </c>
    </row>
    <row r="305" spans="1:10">
      <c r="A305" s="5">
        <v>0.89861111111111114</v>
      </c>
      <c r="B305" s="5">
        <v>0.89861111111111114</v>
      </c>
      <c r="C305" s="5">
        <v>0.90208333333333335</v>
      </c>
      <c r="D305" s="6" t="s">
        <v>48</v>
      </c>
      <c r="E305" s="6" t="s">
        <v>47</v>
      </c>
      <c r="F305" s="5">
        <f>C305-B305</f>
        <v>3.4722222222222099E-3</v>
      </c>
      <c r="G305" s="7">
        <f>HOUR(A305)*60+MINUTE(A305)</f>
        <v>1294</v>
      </c>
      <c r="H305" s="5">
        <f>C305-B305</f>
        <v>3.4722222222222099E-3</v>
      </c>
      <c r="I305" s="7">
        <f>HOUR(H305)*60+MINUTE(H305)</f>
        <v>5</v>
      </c>
      <c r="J305" s="10">
        <f>G305-G304</f>
        <v>13</v>
      </c>
    </row>
    <row r="306" spans="1:10">
      <c r="A306" s="5">
        <v>0.9</v>
      </c>
      <c r="B306" s="5">
        <v>0.90208333333333335</v>
      </c>
      <c r="C306" s="5">
        <v>0.90486111111111112</v>
      </c>
      <c r="D306" s="6" t="s">
        <v>48</v>
      </c>
      <c r="E306" s="6" t="s">
        <v>47</v>
      </c>
      <c r="F306" s="5">
        <f>C306-B306</f>
        <v>2.7777777777777679E-3</v>
      </c>
      <c r="G306" s="7">
        <f>HOUR(A306)*60+MINUTE(A306)</f>
        <v>1296</v>
      </c>
      <c r="H306" s="5">
        <f>C306-B306</f>
        <v>2.7777777777777679E-3</v>
      </c>
      <c r="I306" s="7">
        <f>HOUR(H306)*60+MINUTE(H306)</f>
        <v>4</v>
      </c>
      <c r="J306" s="10">
        <f>G306-G305</f>
        <v>2</v>
      </c>
    </row>
    <row r="307" spans="1:10">
      <c r="A307" s="5">
        <v>0.93680555555555556</v>
      </c>
      <c r="B307" s="5">
        <v>0.93680555555555556</v>
      </c>
      <c r="C307" s="5">
        <v>0.94027777777777777</v>
      </c>
      <c r="D307" s="6" t="s">
        <v>48</v>
      </c>
      <c r="E307" s="6" t="s">
        <v>47</v>
      </c>
      <c r="F307" s="5">
        <f>C307-B307</f>
        <v>3.4722222222222099E-3</v>
      </c>
      <c r="G307" s="7">
        <f>HOUR(A307)*60+MINUTE(A307)</f>
        <v>1349</v>
      </c>
      <c r="H307" s="5">
        <f>C307-B307</f>
        <v>3.4722222222222099E-3</v>
      </c>
      <c r="I307" s="7">
        <f>HOUR(H307)*60+MINUTE(H307)</f>
        <v>5</v>
      </c>
      <c r="J307" s="10">
        <f>G307-G306</f>
        <v>53</v>
      </c>
    </row>
    <row r="308" spans="1:10">
      <c r="A308" s="5">
        <v>0.93958333333333333</v>
      </c>
      <c r="B308" s="5">
        <v>0.94027777777777777</v>
      </c>
      <c r="C308" s="5">
        <v>0.94027777777777777</v>
      </c>
      <c r="D308" s="6" t="s">
        <v>48</v>
      </c>
      <c r="E308" s="6" t="s">
        <v>47</v>
      </c>
      <c r="F308" s="5">
        <f>C308-B308</f>
        <v>0</v>
      </c>
      <c r="G308" s="7">
        <f>HOUR(A308)*60+MINUTE(A308)</f>
        <v>1353</v>
      </c>
      <c r="H308" s="5">
        <f>C308-B308</f>
        <v>0</v>
      </c>
      <c r="I308" s="7">
        <f>HOUR(H308)*60+MINUTE(H308)</f>
        <v>0</v>
      </c>
      <c r="J308" s="10">
        <f>G308-G307</f>
        <v>4</v>
      </c>
    </row>
    <row r="309" spans="1:10">
      <c r="A309" s="5">
        <v>0.9458333333333333</v>
      </c>
      <c r="B309" s="5">
        <v>0.9458333333333333</v>
      </c>
      <c r="C309" s="5">
        <v>0.94791666666666663</v>
      </c>
      <c r="D309" s="6" t="s">
        <v>48</v>
      </c>
      <c r="E309" s="6" t="s">
        <v>47</v>
      </c>
      <c r="F309" s="5">
        <f>C309-B309</f>
        <v>2.0833333333333259E-3</v>
      </c>
      <c r="G309" s="7">
        <f>HOUR(A309)*60+MINUTE(A309)</f>
        <v>1362</v>
      </c>
      <c r="H309" s="5">
        <f>C309-B309</f>
        <v>2.0833333333333259E-3</v>
      </c>
      <c r="I309" s="7">
        <f>HOUR(H309)*60+MINUTE(H309)</f>
        <v>3</v>
      </c>
      <c r="J309" s="10">
        <f>G309-G308</f>
        <v>9</v>
      </c>
    </row>
    <row r="310" spans="1:10">
      <c r="A310" s="5">
        <v>0.95347222222222228</v>
      </c>
      <c r="B310" s="5">
        <v>0.95347222222222228</v>
      </c>
      <c r="C310" s="5">
        <v>0.95625000000000004</v>
      </c>
      <c r="D310" s="6" t="s">
        <v>48</v>
      </c>
      <c r="E310" s="6" t="s">
        <v>47</v>
      </c>
      <c r="F310" s="5">
        <f>C310-B310</f>
        <v>2.7777777777777679E-3</v>
      </c>
      <c r="G310" s="7">
        <f>HOUR(A310)*60+MINUTE(A310)</f>
        <v>1373</v>
      </c>
      <c r="H310" s="5">
        <f>C310-B310</f>
        <v>2.7777777777777679E-3</v>
      </c>
      <c r="I310" s="7">
        <f>HOUR(H310)*60+MINUTE(H310)</f>
        <v>4</v>
      </c>
      <c r="J310" s="10">
        <f>G310-G309</f>
        <v>11</v>
      </c>
    </row>
    <row r="311" spans="1:10">
      <c r="I311" s="1"/>
    </row>
    <row r="312" spans="1:10">
      <c r="I312" s="1"/>
      <c r="J312" s="1"/>
    </row>
    <row r="313" spans="1:10">
      <c r="I313" s="1"/>
    </row>
  </sheetData>
  <mergeCells count="19">
    <mergeCell ref="O110:V110"/>
    <mergeCell ref="P27:U28"/>
    <mergeCell ref="O48:T49"/>
    <mergeCell ref="O1:T2"/>
    <mergeCell ref="L1:M2"/>
    <mergeCell ref="N1:N2"/>
    <mergeCell ref="U1:V2"/>
    <mergeCell ref="L27:O28"/>
    <mergeCell ref="V27:V28"/>
    <mergeCell ref="L71:N72"/>
    <mergeCell ref="O93:T94"/>
    <mergeCell ref="L93:N94"/>
    <mergeCell ref="O19:V19"/>
    <mergeCell ref="O21:V21"/>
    <mergeCell ref="L48:N49"/>
    <mergeCell ref="O71:T72"/>
    <mergeCell ref="O42:V42"/>
    <mergeCell ref="O65:V65"/>
    <mergeCell ref="O87:V87"/>
  </mergeCells>
  <printOptions horizontalCentered="1" verticalCentered="1"/>
  <pageMargins left="0.7" right="0.7" top="0.75" bottom="0.75" header="0.3" footer="0.3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8F3B-1EC2-4BF9-93CC-76337FE545BD}">
  <dimension ref="B2:C12"/>
  <sheetViews>
    <sheetView workbookViewId="0">
      <selection activeCell="C2" sqref="C2"/>
    </sheetView>
  </sheetViews>
  <sheetFormatPr defaultRowHeight="15"/>
  <sheetData>
    <row r="2" spans="2:3">
      <c r="B2" t="s">
        <v>166</v>
      </c>
      <c r="C2" t="s">
        <v>167</v>
      </c>
    </row>
    <row r="3" spans="2:3">
      <c r="B3">
        <v>1</v>
      </c>
      <c r="C3">
        <v>66.405694338245752</v>
      </c>
    </row>
    <row r="4" spans="2:3">
      <c r="B4">
        <v>3</v>
      </c>
      <c r="C4">
        <v>40.916005086543294</v>
      </c>
    </row>
    <row r="5" spans="2:3">
      <c r="B5">
        <v>5</v>
      </c>
      <c r="C5">
        <v>25.210480651172773</v>
      </c>
    </row>
    <row r="6" spans="2:3">
      <c r="B6">
        <v>7</v>
      </c>
      <c r="C6">
        <v>15.533489482143651</v>
      </c>
    </row>
    <row r="7" spans="2:3">
      <c r="B7">
        <v>9</v>
      </c>
      <c r="C7">
        <v>9.5709914789206021</v>
      </c>
    </row>
    <row r="8" spans="2:3">
      <c r="B8">
        <v>11</v>
      </c>
      <c r="C8">
        <v>5.8971860762433908</v>
      </c>
    </row>
    <row r="9" spans="2:3">
      <c r="B9">
        <v>13</v>
      </c>
      <c r="C9">
        <v>3.6335633245972998</v>
      </c>
    </row>
    <row r="10" spans="2:3">
      <c r="B10">
        <v>15</v>
      </c>
      <c r="C10">
        <v>2.2388275125055555</v>
      </c>
    </row>
    <row r="11" spans="2:3">
      <c r="B11">
        <v>17</v>
      </c>
      <c r="C11">
        <v>1.3794581745200201</v>
      </c>
    </row>
    <row r="12" spans="2:3">
      <c r="B12">
        <v>19</v>
      </c>
      <c r="C12">
        <v>0.84995599018724433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79D0-E607-459B-B379-989584759B8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2025-10-15T05:38:38Z</dcterms:created>
  <dcterms:modified xsi:type="dcterms:W3CDTF">2025-12-09T18:44:32Z</dcterms:modified>
  <cp:category/>
  <cp:contentStatus/>
</cp:coreProperties>
</file>